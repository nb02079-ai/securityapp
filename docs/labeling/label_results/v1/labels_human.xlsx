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876A8FDD-06D4-4C88-8B56-1880801FB20E}" xr6:coauthVersionLast="47" xr6:coauthVersionMax="47" xr10:uidLastSave="{00000000-0000-0000-0000-000000000000}"/>
  <bookViews>
    <workbookView xWindow="-120" yWindow="-120" windowWidth="29040" windowHeight="15720" activeTab="7" xr2:uid="{00000000-000D-0000-FFFF-FFFF00000000}"/>
  </bookViews>
  <sheets>
    <sheet name="안내" sheetId="1" r:id="rId1"/>
    <sheet name="코드표" sheetId="2" r:id="rId2"/>
    <sheet name="C03" sheetId="3" r:id="rId3"/>
    <sheet name="C05" sheetId="4" r:id="rId4"/>
    <sheet name="C06" sheetId="5" r:id="rId5"/>
    <sheet name="C08" sheetId="6" r:id="rId6"/>
    <sheet name="C09" sheetId="7" r:id="rId7"/>
    <sheet name="금전 지점"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21" i="7" l="1"/>
  <c r="Z20" i="7"/>
  <c r="Z19" i="7"/>
  <c r="Z18" i="7"/>
  <c r="Z16" i="7"/>
  <c r="Z14" i="7"/>
  <c r="Z13" i="7"/>
  <c r="Z12" i="7"/>
  <c r="Z11" i="7"/>
  <c r="Z10" i="7"/>
  <c r="Z9" i="7"/>
  <c r="Z8" i="7"/>
  <c r="Z6" i="7"/>
  <c r="Z4" i="7"/>
  <c r="Z2" i="7"/>
  <c r="Z37" i="6"/>
  <c r="Z33" i="6"/>
  <c r="Z32" i="6"/>
  <c r="Z31" i="6"/>
  <c r="Z30" i="6"/>
  <c r="Z28" i="6"/>
  <c r="Z27" i="6"/>
  <c r="Z26" i="6"/>
  <c r="Z25" i="6"/>
  <c r="Z24" i="6"/>
  <c r="Z23" i="6"/>
  <c r="Z21" i="6"/>
  <c r="Z20" i="6"/>
  <c r="Z19" i="6"/>
  <c r="Z18" i="6"/>
  <c r="Z17" i="6"/>
  <c r="Z16" i="6"/>
  <c r="Z15" i="6"/>
  <c r="Z14" i="6"/>
  <c r="Z13" i="6"/>
  <c r="Z11" i="6"/>
  <c r="Z9" i="6"/>
  <c r="Z8" i="6"/>
  <c r="Z7" i="6"/>
  <c r="Z6" i="6"/>
  <c r="Z5" i="6"/>
  <c r="Z4" i="6"/>
  <c r="Z3" i="6"/>
  <c r="Z2" i="6"/>
  <c r="Z23" i="5"/>
  <c r="Z21" i="5"/>
  <c r="Z20" i="5"/>
  <c r="Z18" i="5"/>
  <c r="Z17" i="5"/>
  <c r="Z16" i="5"/>
  <c r="Z15" i="5"/>
  <c r="Z14" i="5"/>
  <c r="Z13" i="5"/>
  <c r="Z12" i="5"/>
  <c r="Z11" i="5"/>
  <c r="Z9" i="5"/>
  <c r="Z8" i="5"/>
  <c r="Z7" i="5"/>
  <c r="Z5" i="5"/>
  <c r="Z4" i="5"/>
  <c r="Z3" i="5"/>
  <c r="Z14" i="4"/>
  <c r="Z11" i="4"/>
  <c r="Z9" i="4"/>
  <c r="Z7" i="4"/>
  <c r="Z5" i="4"/>
  <c r="Z3" i="4"/>
  <c r="Z18" i="3"/>
  <c r="Z17" i="3"/>
  <c r="Z15" i="3"/>
  <c r="Z14" i="3"/>
  <c r="Z13" i="3"/>
  <c r="Z11" i="3"/>
  <c r="Z10" i="3"/>
  <c r="Z9" i="3"/>
  <c r="Z8" i="3"/>
  <c r="Z6" i="3"/>
  <c r="Z4" i="3"/>
  <c r="Z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200-000001000000}">
      <text>
        <r>
          <rPr>
            <sz val="11"/>
            <color theme="1"/>
            <rFont val="맑은 고딕"/>
            <family val="2"/>
            <scheme val="minor"/>
          </rPr>
          <t>R1 맞장구: 단체방에서 여러 명이 수익 인증·감사로 분위기를 띄움</t>
        </r>
      </text>
    </comment>
    <comment ref="G1" authorId="0" shapeId="0" xr:uid="{00000000-0006-0000-0200-000002000000}">
      <text>
        <r>
          <rPr>
            <sz val="11"/>
            <color theme="1"/>
            <rFont val="맑은 고딕"/>
            <family val="2"/>
            <scheme val="minor"/>
          </rPr>
          <t>R2 친밀감: 안부·일상·칭찬, 짧은 기간의 사랑·운명 표현</t>
        </r>
      </text>
    </comment>
    <comment ref="H1" authorId="0" shapeId="0" xr:uid="{00000000-0006-0000-0200-000003000000}">
      <text>
        <r>
          <rPr>
            <sz val="11"/>
            <color theme="1"/>
            <rFont val="맑은 고딕"/>
            <family val="2"/>
            <scheme val="minor"/>
          </rPr>
          <t>D1 채널이동: 다른 앱·방·사이트로 옮겨 오라</t>
        </r>
      </text>
    </comment>
    <comment ref="I1" authorId="0" shapeId="0" xr:uid="{00000000-0006-0000-0200-000004000000}">
      <text>
        <r>
          <rPr>
            <sz val="11"/>
            <color theme="1"/>
            <rFont val="맑은 고딕"/>
            <family val="2"/>
            <scheme val="minor"/>
          </rPr>
          <t>D2 투자금: 수익을 내려고 돈을 넣으라 (권유 포함)</t>
        </r>
      </text>
    </comment>
    <comment ref="J1" authorId="0" shapeId="0" xr:uid="{00000000-0006-0000-0200-000005000000}">
      <text>
        <r>
          <rPr>
            <sz val="11"/>
            <color theme="1"/>
            <rFont val="맑은 고딕"/>
            <family val="2"/>
            <scheme val="minor"/>
          </rPr>
          <t>D3 대납차용: 상대 사정 때문에 돈을 내 달라, 빌려 달라</t>
        </r>
      </text>
    </comment>
    <comment ref="K1" authorId="0" shapeId="0" xr:uid="{00000000-0006-0000-0200-000006000000}">
      <text>
        <r>
          <rPr>
            <sz val="11"/>
            <color theme="1"/>
            <rFont val="맑은 고딕"/>
            <family val="2"/>
            <scheme val="minor"/>
          </rPr>
          <t>D4 경로통제: 보낼 곳·방법을 지정하거나 제한함</t>
        </r>
      </text>
    </comment>
    <comment ref="L1" authorId="0" shapeId="0" xr:uid="{00000000-0006-0000-0200-000007000000}">
      <text>
        <r>
          <rPr>
            <sz val="11"/>
            <color theme="1"/>
            <rFont val="맑은 고딕"/>
            <family val="2"/>
            <scheme val="minor"/>
          </rPr>
          <t>D5 출금조건: 빼려면 더 내라</t>
        </r>
      </text>
    </comment>
    <comment ref="M1" authorId="0" shapeId="0" xr:uid="{00000000-0006-0000-0200-000008000000}">
      <text>
        <r>
          <rPr>
            <sz val="11"/>
            <color theme="1"/>
            <rFont val="맑은 고딕"/>
            <family val="2"/>
            <scheme val="minor"/>
          </rPr>
          <t>D6 비밀유지: 가족·은행에 말하지 마라</t>
        </r>
      </text>
    </comment>
    <comment ref="N1" authorId="0" shapeId="0" xr:uid="{00000000-0006-0000-0200-000009000000}">
      <text>
        <r>
          <rPr>
            <sz val="11"/>
            <color theme="1"/>
            <rFont val="맑은 고딕"/>
            <family val="2"/>
            <scheme val="minor"/>
          </rPr>
          <t>D7 정보·앱: 신분증·계정·인증번호, 앱 설치 (돈이 아님)</t>
        </r>
      </text>
    </comment>
    <comment ref="O1" authorId="0" shapeId="0" xr:uid="{00000000-0006-0000-0200-00000A000000}">
      <text>
        <r>
          <rPr>
            <sz val="11"/>
            <color theme="1"/>
            <rFont val="맑은 고딕"/>
            <family val="2"/>
            <scheme val="minor"/>
          </rPr>
          <t>P1 수익보장: 큰 수익 약속, 손해 없음, 손실 보상 약속</t>
        </r>
      </text>
    </comment>
    <comment ref="P1" authorId="0" shapeId="0" xr:uid="{00000000-0006-0000-0200-00000B000000}">
      <text>
        <r>
          <rPr>
            <sz val="11"/>
            <color theme="1"/>
            <rFont val="맑은 고딕"/>
            <family val="2"/>
            <scheme val="minor"/>
          </rPr>
          <t>P2 권위: 직업·유명인·기관, 증명서·사진</t>
        </r>
      </text>
    </comment>
    <comment ref="Q1" authorId="0" shapeId="0" xr:uid="{00000000-0006-0000-0200-00000C000000}">
      <text>
        <r>
          <rPr>
            <sz val="11"/>
            <color theme="1"/>
            <rFont val="맑은 고딕"/>
            <family val="2"/>
            <scheme val="minor"/>
          </rPr>
          <t>P3 긴급성: 오늘까지, 몇 명만, 급한 사정</t>
        </r>
      </text>
    </comment>
    <comment ref="R1" authorId="0" shapeId="0" xr:uid="{00000000-0006-0000-0200-00000D000000}">
      <text>
        <r>
          <rPr>
            <sz val="11"/>
            <color theme="1"/>
            <rFont val="맑은 고딕"/>
            <family val="2"/>
            <scheme val="minor"/>
          </rPr>
          <t>P4 확인회피: 영상통화·만남을 미루고 핑계를 댐</t>
        </r>
      </text>
    </comment>
    <comment ref="S1" authorId="0" shapeId="0" xr:uid="{00000000-0006-0000-0200-00000E000000}">
      <text>
        <r>
          <rPr>
            <sz val="11"/>
            <color theme="1"/>
            <rFont val="맑은 고딕"/>
            <family val="2"/>
            <scheme val="minor"/>
          </rPr>
          <t>G1 선보상: 작은 돈·선물을 실제로 먼저 줌 (약속만이면 P1)</t>
        </r>
      </text>
    </comment>
    <comment ref="T1" authorId="0" shapeId="0" xr:uid="{00000000-0006-0000-0200-00000F000000}">
      <text>
        <r>
          <rPr>
            <sz val="11"/>
            <color theme="1"/>
            <rFont val="맑은 고딕"/>
            <family val="2"/>
            <scheme val="minor"/>
          </rPr>
          <t>G2 급전환: 돈과 무관한 대화가 이 메시지에서 돈 얘기로 바뀜</t>
        </r>
      </text>
    </comment>
    <comment ref="U1" authorId="0" shapeId="0" xr:uid="{00000000-0006-0000-0200-000010000000}">
      <text>
        <r>
          <rPr>
            <sz val="11"/>
            <color theme="1"/>
            <rFont val="맑은 고딕"/>
            <family val="2"/>
            <scheme val="minor"/>
          </rPr>
          <t>G3 금액증가: 앞보다 큰 금액, 대출 권유 (메모에 비교 번호)</t>
        </r>
      </text>
    </comment>
    <comment ref="V1" authorId="0" shapeId="0" xr:uid="{00000000-0006-0000-0200-000011000000}">
      <text>
        <r>
          <rPr>
            <sz val="11"/>
            <color theme="1"/>
            <rFont val="맑은 고딕"/>
            <family val="2"/>
            <scheme val="minor"/>
          </rPr>
          <t>G4 요구반복: 거절·망설임 뒤 다시 요구 (메모에 비교 번호)</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300-000001000000}">
      <text>
        <r>
          <rPr>
            <sz val="11"/>
            <color theme="1"/>
            <rFont val="맑은 고딕"/>
            <family val="2"/>
            <scheme val="minor"/>
          </rPr>
          <t>R1 맞장구: 단체방에서 여러 명이 수익 인증·감사로 분위기를 띄움</t>
        </r>
      </text>
    </comment>
    <comment ref="G1" authorId="0" shapeId="0" xr:uid="{00000000-0006-0000-0300-000002000000}">
      <text>
        <r>
          <rPr>
            <sz val="11"/>
            <color theme="1"/>
            <rFont val="맑은 고딕"/>
            <family val="2"/>
            <scheme val="minor"/>
          </rPr>
          <t>R2 친밀감: 안부·일상·칭찬, 짧은 기간의 사랑·운명 표현</t>
        </r>
      </text>
    </comment>
    <comment ref="H1" authorId="0" shapeId="0" xr:uid="{00000000-0006-0000-0300-000003000000}">
      <text>
        <r>
          <rPr>
            <sz val="11"/>
            <color theme="1"/>
            <rFont val="맑은 고딕"/>
            <family val="2"/>
            <scheme val="minor"/>
          </rPr>
          <t>D1 채널이동: 다른 앱·방·사이트로 옮겨 오라</t>
        </r>
      </text>
    </comment>
    <comment ref="I1" authorId="0" shapeId="0" xr:uid="{00000000-0006-0000-0300-000004000000}">
      <text>
        <r>
          <rPr>
            <sz val="11"/>
            <color theme="1"/>
            <rFont val="맑은 고딕"/>
            <family val="2"/>
            <scheme val="minor"/>
          </rPr>
          <t>D2 투자금: 수익을 내려고 돈을 넣으라 (권유 포함)</t>
        </r>
      </text>
    </comment>
    <comment ref="J1" authorId="0" shapeId="0" xr:uid="{00000000-0006-0000-0300-000005000000}">
      <text>
        <r>
          <rPr>
            <sz val="11"/>
            <color theme="1"/>
            <rFont val="맑은 고딕"/>
            <family val="2"/>
            <scheme val="minor"/>
          </rPr>
          <t>D3 대납차용: 상대 사정 때문에 돈을 내 달라, 빌려 달라</t>
        </r>
      </text>
    </comment>
    <comment ref="K1" authorId="0" shapeId="0" xr:uid="{00000000-0006-0000-0300-000006000000}">
      <text>
        <r>
          <rPr>
            <sz val="11"/>
            <color theme="1"/>
            <rFont val="맑은 고딕"/>
            <family val="2"/>
            <scheme val="minor"/>
          </rPr>
          <t>D4 경로통제: 보낼 곳·방법을 지정하거나 제한함</t>
        </r>
      </text>
    </comment>
    <comment ref="L1" authorId="0" shapeId="0" xr:uid="{00000000-0006-0000-0300-000007000000}">
      <text>
        <r>
          <rPr>
            <sz val="11"/>
            <color theme="1"/>
            <rFont val="맑은 고딕"/>
            <family val="2"/>
            <scheme val="minor"/>
          </rPr>
          <t>D5 출금조건: 빼려면 더 내라</t>
        </r>
      </text>
    </comment>
    <comment ref="M1" authorId="0" shapeId="0" xr:uid="{00000000-0006-0000-0300-000008000000}">
      <text>
        <r>
          <rPr>
            <sz val="11"/>
            <color theme="1"/>
            <rFont val="맑은 고딕"/>
            <family val="2"/>
            <scheme val="minor"/>
          </rPr>
          <t>D6 비밀유지: 가족·은행에 말하지 마라</t>
        </r>
      </text>
    </comment>
    <comment ref="N1" authorId="0" shapeId="0" xr:uid="{00000000-0006-0000-0300-000009000000}">
      <text>
        <r>
          <rPr>
            <sz val="11"/>
            <color theme="1"/>
            <rFont val="맑은 고딕"/>
            <family val="2"/>
            <scheme val="minor"/>
          </rPr>
          <t>D7 정보·앱: 신분증·계정·인증번호, 앱 설치 (돈이 아님)</t>
        </r>
      </text>
    </comment>
    <comment ref="O1" authorId="0" shapeId="0" xr:uid="{00000000-0006-0000-0300-00000A000000}">
      <text>
        <r>
          <rPr>
            <sz val="11"/>
            <color theme="1"/>
            <rFont val="맑은 고딕"/>
            <family val="2"/>
            <scheme val="minor"/>
          </rPr>
          <t>P1 수익보장: 큰 수익 약속, 손해 없음, 손실 보상 약속</t>
        </r>
      </text>
    </comment>
    <comment ref="P1" authorId="0" shapeId="0" xr:uid="{00000000-0006-0000-0300-00000B000000}">
      <text>
        <r>
          <rPr>
            <sz val="11"/>
            <color theme="1"/>
            <rFont val="맑은 고딕"/>
            <family val="2"/>
            <scheme val="minor"/>
          </rPr>
          <t>P2 권위: 직업·유명인·기관, 증명서·사진</t>
        </r>
      </text>
    </comment>
    <comment ref="Q1" authorId="0" shapeId="0" xr:uid="{00000000-0006-0000-0300-00000C000000}">
      <text>
        <r>
          <rPr>
            <sz val="11"/>
            <color theme="1"/>
            <rFont val="맑은 고딕"/>
            <family val="2"/>
            <scheme val="minor"/>
          </rPr>
          <t>P3 긴급성: 오늘까지, 몇 명만, 급한 사정</t>
        </r>
      </text>
    </comment>
    <comment ref="R1" authorId="0" shapeId="0" xr:uid="{00000000-0006-0000-0300-00000D000000}">
      <text>
        <r>
          <rPr>
            <sz val="11"/>
            <color theme="1"/>
            <rFont val="맑은 고딕"/>
            <family val="2"/>
            <scheme val="minor"/>
          </rPr>
          <t>P4 확인회피: 영상통화·만남을 미루고 핑계를 댐</t>
        </r>
      </text>
    </comment>
    <comment ref="S1" authorId="0" shapeId="0" xr:uid="{00000000-0006-0000-0300-00000E000000}">
      <text>
        <r>
          <rPr>
            <sz val="11"/>
            <color theme="1"/>
            <rFont val="맑은 고딕"/>
            <family val="2"/>
            <scheme val="minor"/>
          </rPr>
          <t>G1 선보상: 작은 돈·선물을 실제로 먼저 줌 (약속만이면 P1)</t>
        </r>
      </text>
    </comment>
    <comment ref="T1" authorId="0" shapeId="0" xr:uid="{00000000-0006-0000-0300-00000F000000}">
      <text>
        <r>
          <rPr>
            <sz val="11"/>
            <color theme="1"/>
            <rFont val="맑은 고딕"/>
            <family val="2"/>
            <scheme val="minor"/>
          </rPr>
          <t>G2 급전환: 돈과 무관한 대화가 이 메시지에서 돈 얘기로 바뀜</t>
        </r>
      </text>
    </comment>
    <comment ref="U1" authorId="0" shapeId="0" xr:uid="{00000000-0006-0000-0300-000010000000}">
      <text>
        <r>
          <rPr>
            <sz val="11"/>
            <color theme="1"/>
            <rFont val="맑은 고딕"/>
            <family val="2"/>
            <scheme val="minor"/>
          </rPr>
          <t>G3 금액증가: 앞보다 큰 금액, 대출 권유 (메모에 비교 번호)</t>
        </r>
      </text>
    </comment>
    <comment ref="V1" authorId="0" shapeId="0" xr:uid="{00000000-0006-0000-0300-000011000000}">
      <text>
        <r>
          <rPr>
            <sz val="11"/>
            <color theme="1"/>
            <rFont val="맑은 고딕"/>
            <family val="2"/>
            <scheme val="minor"/>
          </rPr>
          <t>G4 요구반복: 거절·망설임 뒤 다시 요구 (메모에 비교 번호)</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400-000001000000}">
      <text>
        <r>
          <rPr>
            <sz val="11"/>
            <color theme="1"/>
            <rFont val="맑은 고딕"/>
            <family val="2"/>
            <scheme val="minor"/>
          </rPr>
          <t>R1 맞장구: 단체방에서 여러 명이 수익 인증·감사로 분위기를 띄움</t>
        </r>
      </text>
    </comment>
    <comment ref="G1" authorId="0" shapeId="0" xr:uid="{00000000-0006-0000-0400-000002000000}">
      <text>
        <r>
          <rPr>
            <sz val="11"/>
            <color theme="1"/>
            <rFont val="맑은 고딕"/>
            <family val="2"/>
            <scheme val="minor"/>
          </rPr>
          <t>R2 친밀감: 안부·일상·칭찬, 짧은 기간의 사랑·운명 표현</t>
        </r>
      </text>
    </comment>
    <comment ref="H1" authorId="0" shapeId="0" xr:uid="{00000000-0006-0000-0400-000003000000}">
      <text>
        <r>
          <rPr>
            <sz val="11"/>
            <color theme="1"/>
            <rFont val="맑은 고딕"/>
            <family val="2"/>
            <scheme val="minor"/>
          </rPr>
          <t>D1 채널이동: 다른 앱·방·사이트로 옮겨 오라</t>
        </r>
      </text>
    </comment>
    <comment ref="I1" authorId="0" shapeId="0" xr:uid="{00000000-0006-0000-0400-000004000000}">
      <text>
        <r>
          <rPr>
            <sz val="11"/>
            <color theme="1"/>
            <rFont val="맑은 고딕"/>
            <family val="2"/>
            <scheme val="minor"/>
          </rPr>
          <t>D2 투자금: 수익을 내려고 돈을 넣으라 (권유 포함)</t>
        </r>
      </text>
    </comment>
    <comment ref="J1" authorId="0" shapeId="0" xr:uid="{00000000-0006-0000-0400-000005000000}">
      <text>
        <r>
          <rPr>
            <sz val="11"/>
            <color theme="1"/>
            <rFont val="맑은 고딕"/>
            <family val="2"/>
            <scheme val="minor"/>
          </rPr>
          <t>D3 대납차용: 상대 사정 때문에 돈을 내 달라, 빌려 달라</t>
        </r>
      </text>
    </comment>
    <comment ref="K1" authorId="0" shapeId="0" xr:uid="{00000000-0006-0000-0400-000006000000}">
      <text>
        <r>
          <rPr>
            <sz val="11"/>
            <color theme="1"/>
            <rFont val="맑은 고딕"/>
            <family val="2"/>
            <scheme val="minor"/>
          </rPr>
          <t>D4 경로통제: 보낼 곳·방법을 지정하거나 제한함</t>
        </r>
      </text>
    </comment>
    <comment ref="L1" authorId="0" shapeId="0" xr:uid="{00000000-0006-0000-0400-000007000000}">
      <text>
        <r>
          <rPr>
            <sz val="11"/>
            <color theme="1"/>
            <rFont val="맑은 고딕"/>
            <family val="2"/>
            <scheme val="minor"/>
          </rPr>
          <t>D5 출금조건: 빼려면 더 내라</t>
        </r>
      </text>
    </comment>
    <comment ref="M1" authorId="0" shapeId="0" xr:uid="{00000000-0006-0000-0400-000008000000}">
      <text>
        <r>
          <rPr>
            <sz val="11"/>
            <color theme="1"/>
            <rFont val="맑은 고딕"/>
            <family val="2"/>
            <scheme val="minor"/>
          </rPr>
          <t>D6 비밀유지: 가족·은행에 말하지 마라</t>
        </r>
      </text>
    </comment>
    <comment ref="N1" authorId="0" shapeId="0" xr:uid="{00000000-0006-0000-0400-000009000000}">
      <text>
        <r>
          <rPr>
            <sz val="11"/>
            <color theme="1"/>
            <rFont val="맑은 고딕"/>
            <family val="2"/>
            <scheme val="minor"/>
          </rPr>
          <t>D7 정보·앱: 신분증·계정·인증번호, 앱 설치 (돈이 아님)</t>
        </r>
      </text>
    </comment>
    <comment ref="O1" authorId="0" shapeId="0" xr:uid="{00000000-0006-0000-0400-00000A000000}">
      <text>
        <r>
          <rPr>
            <sz val="11"/>
            <color theme="1"/>
            <rFont val="맑은 고딕"/>
            <family val="2"/>
            <scheme val="minor"/>
          </rPr>
          <t>P1 수익보장: 큰 수익 약속, 손해 없음, 손실 보상 약속</t>
        </r>
      </text>
    </comment>
    <comment ref="P1" authorId="0" shapeId="0" xr:uid="{00000000-0006-0000-0400-00000B000000}">
      <text>
        <r>
          <rPr>
            <sz val="11"/>
            <color theme="1"/>
            <rFont val="맑은 고딕"/>
            <family val="2"/>
            <scheme val="minor"/>
          </rPr>
          <t>P2 권위: 직업·유명인·기관, 증명서·사진</t>
        </r>
      </text>
    </comment>
    <comment ref="Q1" authorId="0" shapeId="0" xr:uid="{00000000-0006-0000-0400-00000C000000}">
      <text>
        <r>
          <rPr>
            <sz val="11"/>
            <color theme="1"/>
            <rFont val="맑은 고딕"/>
            <family val="2"/>
            <scheme val="minor"/>
          </rPr>
          <t>P3 긴급성: 오늘까지, 몇 명만, 급한 사정</t>
        </r>
      </text>
    </comment>
    <comment ref="R1" authorId="0" shapeId="0" xr:uid="{00000000-0006-0000-0400-00000D000000}">
      <text>
        <r>
          <rPr>
            <sz val="11"/>
            <color theme="1"/>
            <rFont val="맑은 고딕"/>
            <family val="2"/>
            <scheme val="minor"/>
          </rPr>
          <t>P4 확인회피: 영상통화·만남을 미루고 핑계를 댐</t>
        </r>
      </text>
    </comment>
    <comment ref="S1" authorId="0" shapeId="0" xr:uid="{00000000-0006-0000-0400-00000E000000}">
      <text>
        <r>
          <rPr>
            <sz val="11"/>
            <color theme="1"/>
            <rFont val="맑은 고딕"/>
            <family val="2"/>
            <scheme val="minor"/>
          </rPr>
          <t>G1 선보상: 작은 돈·선물을 실제로 먼저 줌 (약속만이면 P1)</t>
        </r>
      </text>
    </comment>
    <comment ref="T1" authorId="0" shapeId="0" xr:uid="{00000000-0006-0000-0400-00000F000000}">
      <text>
        <r>
          <rPr>
            <sz val="11"/>
            <color theme="1"/>
            <rFont val="맑은 고딕"/>
            <family val="2"/>
            <scheme val="minor"/>
          </rPr>
          <t>G2 급전환: 돈과 무관한 대화가 이 메시지에서 돈 얘기로 바뀜</t>
        </r>
      </text>
    </comment>
    <comment ref="U1" authorId="0" shapeId="0" xr:uid="{00000000-0006-0000-0400-000010000000}">
      <text>
        <r>
          <rPr>
            <sz val="11"/>
            <color theme="1"/>
            <rFont val="맑은 고딕"/>
            <family val="2"/>
            <scheme val="minor"/>
          </rPr>
          <t>G3 금액증가: 앞보다 큰 금액, 대출 권유 (메모에 비교 번호)</t>
        </r>
      </text>
    </comment>
    <comment ref="V1" authorId="0" shapeId="0" xr:uid="{00000000-0006-0000-0400-000011000000}">
      <text>
        <r>
          <rPr>
            <sz val="11"/>
            <color theme="1"/>
            <rFont val="맑은 고딕"/>
            <family val="2"/>
            <scheme val="minor"/>
          </rPr>
          <t>G4 요구반복: 거절·망설임 뒤 다시 요구 (메모에 비교 번호)</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500-000001000000}">
      <text>
        <r>
          <rPr>
            <sz val="11"/>
            <color theme="1"/>
            <rFont val="맑은 고딕"/>
            <family val="2"/>
            <scheme val="minor"/>
          </rPr>
          <t>R1 맞장구: 단체방에서 여러 명이 수익 인증·감사로 분위기를 띄움</t>
        </r>
      </text>
    </comment>
    <comment ref="G1" authorId="0" shapeId="0" xr:uid="{00000000-0006-0000-0500-000002000000}">
      <text>
        <r>
          <rPr>
            <sz val="11"/>
            <color theme="1"/>
            <rFont val="맑은 고딕"/>
            <family val="2"/>
            <scheme val="minor"/>
          </rPr>
          <t>R2 친밀감: 안부·일상·칭찬, 짧은 기간의 사랑·운명 표현</t>
        </r>
      </text>
    </comment>
    <comment ref="H1" authorId="0" shapeId="0" xr:uid="{00000000-0006-0000-0500-000003000000}">
      <text>
        <r>
          <rPr>
            <sz val="11"/>
            <color theme="1"/>
            <rFont val="맑은 고딕"/>
            <family val="2"/>
            <scheme val="minor"/>
          </rPr>
          <t>D1 채널이동: 다른 앱·방·사이트로 옮겨 오라</t>
        </r>
      </text>
    </comment>
    <comment ref="I1" authorId="0" shapeId="0" xr:uid="{00000000-0006-0000-0500-000004000000}">
      <text>
        <r>
          <rPr>
            <sz val="11"/>
            <color theme="1"/>
            <rFont val="맑은 고딕"/>
            <family val="2"/>
            <scheme val="minor"/>
          </rPr>
          <t>D2 투자금: 수익을 내려고 돈을 넣으라 (권유 포함)</t>
        </r>
      </text>
    </comment>
    <comment ref="J1" authorId="0" shapeId="0" xr:uid="{00000000-0006-0000-0500-000005000000}">
      <text>
        <r>
          <rPr>
            <sz val="11"/>
            <color theme="1"/>
            <rFont val="맑은 고딕"/>
            <family val="2"/>
            <scheme val="minor"/>
          </rPr>
          <t>D3 대납차용: 상대 사정 때문에 돈을 내 달라, 빌려 달라</t>
        </r>
      </text>
    </comment>
    <comment ref="K1" authorId="0" shapeId="0" xr:uid="{00000000-0006-0000-0500-000006000000}">
      <text>
        <r>
          <rPr>
            <sz val="11"/>
            <color theme="1"/>
            <rFont val="맑은 고딕"/>
            <family val="2"/>
            <scheme val="minor"/>
          </rPr>
          <t>D4 경로통제: 보낼 곳·방법을 지정하거나 제한함</t>
        </r>
      </text>
    </comment>
    <comment ref="L1" authorId="0" shapeId="0" xr:uid="{00000000-0006-0000-0500-000007000000}">
      <text>
        <r>
          <rPr>
            <sz val="11"/>
            <color theme="1"/>
            <rFont val="맑은 고딕"/>
            <family val="2"/>
            <scheme val="minor"/>
          </rPr>
          <t>D5 출금조건: 빼려면 더 내라</t>
        </r>
      </text>
    </comment>
    <comment ref="M1" authorId="0" shapeId="0" xr:uid="{00000000-0006-0000-0500-000008000000}">
      <text>
        <r>
          <rPr>
            <sz val="11"/>
            <color theme="1"/>
            <rFont val="맑은 고딕"/>
            <family val="2"/>
            <scheme val="minor"/>
          </rPr>
          <t>D6 비밀유지: 가족·은행에 말하지 마라</t>
        </r>
      </text>
    </comment>
    <comment ref="N1" authorId="0" shapeId="0" xr:uid="{00000000-0006-0000-0500-000009000000}">
      <text>
        <r>
          <rPr>
            <sz val="11"/>
            <color theme="1"/>
            <rFont val="맑은 고딕"/>
            <family val="2"/>
            <scheme val="minor"/>
          </rPr>
          <t>D7 정보·앱: 신분증·계정·인증번호, 앱 설치 (돈이 아님)</t>
        </r>
      </text>
    </comment>
    <comment ref="O1" authorId="0" shapeId="0" xr:uid="{00000000-0006-0000-0500-00000A000000}">
      <text>
        <r>
          <rPr>
            <sz val="11"/>
            <color theme="1"/>
            <rFont val="맑은 고딕"/>
            <family val="2"/>
            <scheme val="minor"/>
          </rPr>
          <t>P1 수익보장: 큰 수익 약속, 손해 없음, 손실 보상 약속</t>
        </r>
      </text>
    </comment>
    <comment ref="P1" authorId="0" shapeId="0" xr:uid="{00000000-0006-0000-0500-00000B000000}">
      <text>
        <r>
          <rPr>
            <sz val="11"/>
            <color theme="1"/>
            <rFont val="맑은 고딕"/>
            <family val="2"/>
            <scheme val="minor"/>
          </rPr>
          <t>P2 권위: 직업·유명인·기관, 증명서·사진</t>
        </r>
      </text>
    </comment>
    <comment ref="Q1" authorId="0" shapeId="0" xr:uid="{00000000-0006-0000-0500-00000C000000}">
      <text>
        <r>
          <rPr>
            <sz val="11"/>
            <color theme="1"/>
            <rFont val="맑은 고딕"/>
            <family val="2"/>
            <scheme val="minor"/>
          </rPr>
          <t>P3 긴급성: 오늘까지, 몇 명만, 급한 사정</t>
        </r>
      </text>
    </comment>
    <comment ref="R1" authorId="0" shapeId="0" xr:uid="{00000000-0006-0000-0500-00000D000000}">
      <text>
        <r>
          <rPr>
            <sz val="11"/>
            <color theme="1"/>
            <rFont val="맑은 고딕"/>
            <family val="2"/>
            <scheme val="minor"/>
          </rPr>
          <t>P4 확인회피: 영상통화·만남을 미루고 핑계를 댐</t>
        </r>
      </text>
    </comment>
    <comment ref="S1" authorId="0" shapeId="0" xr:uid="{00000000-0006-0000-0500-00000E000000}">
      <text>
        <r>
          <rPr>
            <sz val="11"/>
            <color theme="1"/>
            <rFont val="맑은 고딕"/>
            <family val="2"/>
            <scheme val="minor"/>
          </rPr>
          <t>G1 선보상: 작은 돈·선물을 실제로 먼저 줌 (약속만이면 P1)</t>
        </r>
      </text>
    </comment>
    <comment ref="T1" authorId="0" shapeId="0" xr:uid="{00000000-0006-0000-0500-00000F000000}">
      <text>
        <r>
          <rPr>
            <sz val="11"/>
            <color theme="1"/>
            <rFont val="맑은 고딕"/>
            <family val="2"/>
            <scheme val="minor"/>
          </rPr>
          <t>G2 급전환: 돈과 무관한 대화가 이 메시지에서 돈 얘기로 바뀜</t>
        </r>
      </text>
    </comment>
    <comment ref="U1" authorId="0" shapeId="0" xr:uid="{00000000-0006-0000-0500-000010000000}">
      <text>
        <r>
          <rPr>
            <sz val="11"/>
            <color theme="1"/>
            <rFont val="맑은 고딕"/>
            <family val="2"/>
            <scheme val="minor"/>
          </rPr>
          <t>G3 금액증가: 앞보다 큰 금액, 대출 권유 (메모에 비교 번호)</t>
        </r>
      </text>
    </comment>
    <comment ref="V1" authorId="0" shapeId="0" xr:uid="{00000000-0006-0000-0500-000011000000}">
      <text>
        <r>
          <rPr>
            <sz val="11"/>
            <color theme="1"/>
            <rFont val="맑은 고딕"/>
            <family val="2"/>
            <scheme val="minor"/>
          </rPr>
          <t>G4 요구반복: 거절·망설임 뒤 다시 요구 (메모에 비교 번호)</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기준표</author>
  </authors>
  <commentList>
    <comment ref="F1" authorId="0" shapeId="0" xr:uid="{00000000-0006-0000-0600-000001000000}">
      <text>
        <r>
          <rPr>
            <sz val="11"/>
            <color theme="1"/>
            <rFont val="맑은 고딕"/>
            <family val="2"/>
            <scheme val="minor"/>
          </rPr>
          <t>R1 맞장구: 단체방에서 여러 명이 수익 인증·감사로 분위기를 띄움</t>
        </r>
      </text>
    </comment>
    <comment ref="G1" authorId="0" shapeId="0" xr:uid="{00000000-0006-0000-0600-000002000000}">
      <text>
        <r>
          <rPr>
            <sz val="11"/>
            <color theme="1"/>
            <rFont val="맑은 고딕"/>
            <family val="2"/>
            <scheme val="minor"/>
          </rPr>
          <t>R2 친밀감: 안부·일상·칭찬, 짧은 기간의 사랑·운명 표현</t>
        </r>
      </text>
    </comment>
    <comment ref="H1" authorId="0" shapeId="0" xr:uid="{00000000-0006-0000-0600-000003000000}">
      <text>
        <r>
          <rPr>
            <sz val="11"/>
            <color theme="1"/>
            <rFont val="맑은 고딕"/>
            <family val="2"/>
            <scheme val="minor"/>
          </rPr>
          <t>D1 채널이동: 다른 앱·방·사이트로 옮겨 오라</t>
        </r>
      </text>
    </comment>
    <comment ref="I1" authorId="0" shapeId="0" xr:uid="{00000000-0006-0000-0600-000004000000}">
      <text>
        <r>
          <rPr>
            <sz val="11"/>
            <color theme="1"/>
            <rFont val="맑은 고딕"/>
            <family val="2"/>
            <scheme val="minor"/>
          </rPr>
          <t>D2 투자금: 수익을 내려고 돈을 넣으라 (권유 포함)</t>
        </r>
      </text>
    </comment>
    <comment ref="J1" authorId="0" shapeId="0" xr:uid="{00000000-0006-0000-0600-000005000000}">
      <text>
        <r>
          <rPr>
            <sz val="11"/>
            <color theme="1"/>
            <rFont val="맑은 고딕"/>
            <family val="2"/>
            <scheme val="minor"/>
          </rPr>
          <t>D3 대납차용: 상대 사정 때문에 돈을 내 달라, 빌려 달라</t>
        </r>
      </text>
    </comment>
    <comment ref="K1" authorId="0" shapeId="0" xr:uid="{00000000-0006-0000-0600-000006000000}">
      <text>
        <r>
          <rPr>
            <sz val="11"/>
            <color theme="1"/>
            <rFont val="맑은 고딕"/>
            <family val="2"/>
            <scheme val="minor"/>
          </rPr>
          <t>D4 경로통제: 보낼 곳·방법을 지정하거나 제한함</t>
        </r>
      </text>
    </comment>
    <comment ref="L1" authorId="0" shapeId="0" xr:uid="{00000000-0006-0000-0600-000007000000}">
      <text>
        <r>
          <rPr>
            <sz val="11"/>
            <color theme="1"/>
            <rFont val="맑은 고딕"/>
            <family val="2"/>
            <scheme val="minor"/>
          </rPr>
          <t>D5 출금조건: 빼려면 더 내라</t>
        </r>
      </text>
    </comment>
    <comment ref="M1" authorId="0" shapeId="0" xr:uid="{00000000-0006-0000-0600-000008000000}">
      <text>
        <r>
          <rPr>
            <sz val="11"/>
            <color theme="1"/>
            <rFont val="맑은 고딕"/>
            <family val="2"/>
            <scheme val="minor"/>
          </rPr>
          <t>D6 비밀유지: 가족·은행에 말하지 마라</t>
        </r>
      </text>
    </comment>
    <comment ref="N1" authorId="0" shapeId="0" xr:uid="{00000000-0006-0000-0600-000009000000}">
      <text>
        <r>
          <rPr>
            <sz val="11"/>
            <color theme="1"/>
            <rFont val="맑은 고딕"/>
            <family val="2"/>
            <scheme val="minor"/>
          </rPr>
          <t>D7 정보·앱: 신분증·계정·인증번호, 앱 설치 (돈이 아님)</t>
        </r>
      </text>
    </comment>
    <comment ref="O1" authorId="0" shapeId="0" xr:uid="{00000000-0006-0000-0600-00000A000000}">
      <text>
        <r>
          <rPr>
            <sz val="11"/>
            <color theme="1"/>
            <rFont val="맑은 고딕"/>
            <family val="2"/>
            <scheme val="minor"/>
          </rPr>
          <t>P1 수익보장: 큰 수익 약속, 손해 없음, 손실 보상 약속</t>
        </r>
      </text>
    </comment>
    <comment ref="P1" authorId="0" shapeId="0" xr:uid="{00000000-0006-0000-0600-00000B000000}">
      <text>
        <r>
          <rPr>
            <sz val="11"/>
            <color theme="1"/>
            <rFont val="맑은 고딕"/>
            <family val="2"/>
            <scheme val="minor"/>
          </rPr>
          <t>P2 권위: 직업·유명인·기관, 증명서·사진</t>
        </r>
      </text>
    </comment>
    <comment ref="Q1" authorId="0" shapeId="0" xr:uid="{00000000-0006-0000-0600-00000C000000}">
      <text>
        <r>
          <rPr>
            <sz val="11"/>
            <color theme="1"/>
            <rFont val="맑은 고딕"/>
            <family val="2"/>
            <scheme val="minor"/>
          </rPr>
          <t>P3 긴급성: 오늘까지, 몇 명만, 급한 사정</t>
        </r>
      </text>
    </comment>
    <comment ref="R1" authorId="0" shapeId="0" xr:uid="{00000000-0006-0000-0600-00000D000000}">
      <text>
        <r>
          <rPr>
            <sz val="11"/>
            <color theme="1"/>
            <rFont val="맑은 고딕"/>
            <family val="2"/>
            <scheme val="minor"/>
          </rPr>
          <t>P4 확인회피: 영상통화·만남을 미루고 핑계를 댐</t>
        </r>
      </text>
    </comment>
    <comment ref="S1" authorId="0" shapeId="0" xr:uid="{00000000-0006-0000-0600-00000E000000}">
      <text>
        <r>
          <rPr>
            <sz val="11"/>
            <color theme="1"/>
            <rFont val="맑은 고딕"/>
            <family val="2"/>
            <scheme val="minor"/>
          </rPr>
          <t>G1 선보상: 작은 돈·선물을 실제로 먼저 줌 (약속만이면 P1)</t>
        </r>
      </text>
    </comment>
    <comment ref="T1" authorId="0" shapeId="0" xr:uid="{00000000-0006-0000-0600-00000F000000}">
      <text>
        <r>
          <rPr>
            <sz val="11"/>
            <color theme="1"/>
            <rFont val="맑은 고딕"/>
            <family val="2"/>
            <scheme val="minor"/>
          </rPr>
          <t>G2 급전환: 돈과 무관한 대화가 이 메시지에서 돈 얘기로 바뀜</t>
        </r>
      </text>
    </comment>
    <comment ref="U1" authorId="0" shapeId="0" xr:uid="{00000000-0006-0000-0600-000010000000}">
      <text>
        <r>
          <rPr>
            <sz val="11"/>
            <color theme="1"/>
            <rFont val="맑은 고딕"/>
            <family val="2"/>
            <scheme val="minor"/>
          </rPr>
          <t>G3 금액증가: 앞보다 큰 금액, 대출 권유 (메모에 비교 번호)</t>
        </r>
      </text>
    </comment>
    <comment ref="V1" authorId="0" shapeId="0" xr:uid="{00000000-0006-0000-0600-000011000000}">
      <text>
        <r>
          <rPr>
            <sz val="11"/>
            <color theme="1"/>
            <rFont val="맑은 고딕"/>
            <family val="2"/>
            <scheme val="minor"/>
          </rPr>
          <t>G4 요구반복: 거절·망설임 뒤 다시 요구 (메모에 비교 번호)</t>
        </r>
      </text>
    </comment>
  </commentList>
</comments>
</file>

<file path=xl/sharedStrings.xml><?xml version="1.0" encoding="utf-8"?>
<sst xmlns="http://schemas.openxmlformats.org/spreadsheetml/2006/main" count="896" uniqueCount="285">
  <si>
    <t>라벨링 양식 (본인용)</t>
  </si>
  <si>
    <t>채울 칸: 노란색 칸만 채웁니다. 나머지 칸은 잠겨 있습니다 (검토 → 시트 보호 해제로 풀 수 있음, 암호 없음).</t>
  </si>
  <si>
    <t>1. 사례 시트(C03, C05, C06, C08, C09)를 하나씩 엽니다. 대화 전체가 순서대로 있고, "나"의 메시지는 회색입니다.</t>
  </si>
  <si>
    <t>2. 먼저 사례를 처음부터 끝까지 한 번 읽습니다. "나"가 처음 실제로 돈을 보낸 곳을 기억해 둡니다.</t>
  </si>
  <si>
    <t>4. 단계·확신 칸은 드롭다운에서 하나씩 고릅니다. 상대방 메시지마다 둘 다 채웁니다 (오른쪽 '확인' 칸에 빠진 것이 표시됨).</t>
  </si>
  <si>
    <t>5. 메모: G3·G4를 골랐으면 비교한 앞 메시지 번호, 고민한 다른 신호, 기준표에 없는 행동("기준표에 없음: ○○")을 적습니다.</t>
  </si>
  <si>
    <t>6. 사례를 마칠 때마다 '금전 지점' 시트의 그 줄을 채웁니다. 번호는 드롭다운에서 고릅니다.</t>
  </si>
  <si>
    <t>7. 다 끝나면 그대로 저장(.xlsx)해서 가져오면 됩니다. CSV로 바꿀 필요 없습니다.</t>
  </si>
  <si>
    <t>헷갈리기 쉬운 짝</t>
  </si>
  <si>
    <t>· D2 / D3 / D5: 왜 돈을 내라는가 — 벌려고(D2), 상대 사정으로(D3), 빼려고(D5)</t>
  </si>
  <si>
    <t>· P1 / G1: 주겠다는 약속만이면 P1, 실제로 줬다면 G1</t>
  </si>
  <si>
    <t>· "저 40% 벌었어요" 같은 자랑은 D2가 아니라 P1 (단체방이면 R1도)</t>
  </si>
  <si>
    <t>· 유도 / 요구: 막연한 권유면 유도, 금액·경로를 정해 준 구체 요구면 요구. 첫 송금 이후는 모두 추가요구</t>
  </si>
  <si>
    <t>· 판단이 어려우면 확신을 '낮음'으로 두고 메모에 고민한 내용을 적습니다. 오래 고민하지 않아도 됩니다.</t>
  </si>
  <si>
    <t>예시 (지어낸 대화 — 평가 사례 문장이 아님)</t>
  </si>
  <si>
    <t>· 4 "오늘 점심은 드셨어요?" → R2 ● / 단계 신뢰 / 확신 높음</t>
  </si>
  <si>
    <t>· 7 "참, 요즘 코인 해 보셨어요? 저는 이걸로 꽤 벌었어요" → G2 ●, P1 ● / 유도 / 높음 / 메모: 권유는 아님(자랑)</t>
  </si>
  <si>
    <t>· 9 "처음엔 50만 원만 이 사이트에 넣어 보세요 (링크)" → D2 ●, D1 ● / 요구 / 낮음 / 메모: D4도 고민</t>
  </si>
  <si>
    <t>원래 사례 파일, 분석 문서, 모델 라벨 결과는 라벨링을 마칠 때까지 열지 않습니다.</t>
  </si>
  <si>
    <t>신호 (여러 개 가능)</t>
  </si>
  <si>
    <t>R1</t>
  </si>
  <si>
    <t>맞장구</t>
  </si>
  <si>
    <t>단체방에서 여러 명이 수익 인증·감사로 분위기를 띄움</t>
  </si>
  <si>
    <t>R2</t>
  </si>
  <si>
    <t>친밀감</t>
  </si>
  <si>
    <t>안부·일상·칭찬, 짧은 기간의 사랑·운명 표현</t>
  </si>
  <si>
    <t>D1</t>
  </si>
  <si>
    <t>채널이동</t>
  </si>
  <si>
    <t>다른 앱·방·사이트로 옮겨 오라</t>
  </si>
  <si>
    <t>D2</t>
  </si>
  <si>
    <t>투자금</t>
  </si>
  <si>
    <t>수익을 내려고 돈을 넣으라 (권유 포함)</t>
  </si>
  <si>
    <t>D3</t>
  </si>
  <si>
    <t>대납차용</t>
  </si>
  <si>
    <t>상대 사정 때문에 돈을 내 달라, 빌려 달라</t>
  </si>
  <si>
    <t>D4</t>
  </si>
  <si>
    <t>경로통제</t>
  </si>
  <si>
    <t>보낼 곳·방법을 지정하거나 제한함</t>
  </si>
  <si>
    <t>D5</t>
  </si>
  <si>
    <t>출금조건</t>
  </si>
  <si>
    <t>빼려면 더 내라</t>
  </si>
  <si>
    <t>D6</t>
  </si>
  <si>
    <t>비밀유지</t>
  </si>
  <si>
    <t>가족·은행에 말하지 마라</t>
  </si>
  <si>
    <t>D7</t>
  </si>
  <si>
    <t>정보·앱</t>
  </si>
  <si>
    <t>신분증·계정·인증번호, 앱 설치 (돈이 아님)</t>
  </si>
  <si>
    <t>P1</t>
  </si>
  <si>
    <t>수익보장</t>
  </si>
  <si>
    <t>큰 수익 약속, 손해 없음, 손실 보상 약속</t>
  </si>
  <si>
    <t>P2</t>
  </si>
  <si>
    <t>권위</t>
  </si>
  <si>
    <t>직업·유명인·기관, 증명서·사진</t>
  </si>
  <si>
    <t>P3</t>
  </si>
  <si>
    <t>긴급성</t>
  </si>
  <si>
    <t>오늘까지, 몇 명만, 급한 사정</t>
  </si>
  <si>
    <t>P4</t>
  </si>
  <si>
    <t>확인회피</t>
  </si>
  <si>
    <t>영상통화·만남을 미루고 핑계를 댐</t>
  </si>
  <si>
    <t>G1</t>
  </si>
  <si>
    <t>선보상</t>
  </si>
  <si>
    <t>작은 돈·선물을 실제로 먼저 줌 (약속만이면 P1)</t>
  </si>
  <si>
    <t>G2</t>
  </si>
  <si>
    <t>급전환</t>
  </si>
  <si>
    <t>돈과 무관한 대화가 이 메시지에서 돈 얘기로 바뀜</t>
  </si>
  <si>
    <t>G3</t>
  </si>
  <si>
    <t>금액증가</t>
  </si>
  <si>
    <t>앞보다 큰 금액, 대출 권유 (메모에 비교 번호)</t>
  </si>
  <si>
    <t>G4</t>
  </si>
  <si>
    <t>요구반복</t>
  </si>
  <si>
    <t>거절·망설임 뒤 다시 요구 (메모에 비교 번호)</t>
  </si>
  <si>
    <t>단계 (하나만)</t>
  </si>
  <si>
    <t>접근</t>
  </si>
  <si>
    <t>처음 말을 걸거나 관계를 시작함</t>
  </si>
  <si>
    <t>신뢰</t>
  </si>
  <si>
    <t>친밀감·권위·증거·소액 선보상으로 믿게 만듦</t>
  </si>
  <si>
    <t>유도</t>
  </si>
  <si>
    <t>돈을 쓰는 쪽으로 이끎 — 아직 구체 지시는 아님</t>
  </si>
  <si>
    <t>요구</t>
  </si>
  <si>
    <t>첫 송금 전, 금액·경로를 정한 구체적인 돈 요구</t>
  </si>
  <si>
    <t>추가요구</t>
  </si>
  <si>
    <t>첫 송금 뒤의 추가 요구·출금 방해·붙잡기</t>
  </si>
  <si>
    <t>분류불가</t>
  </si>
  <si>
    <t>어느 것에도 맞지 않음 (메모에 이유)</t>
  </si>
  <si>
    <t>자세한 기준과 '붙이지 않는 경우'는 03_label_guide.md 2~4장</t>
  </si>
  <si>
    <t>#</t>
  </si>
  <si>
    <t>날짜</t>
  </si>
  <si>
    <t>방</t>
  </si>
  <si>
    <t>보낸 사람</t>
  </si>
  <si>
    <t>메시지</t>
  </si>
  <si>
    <t>R1
맞장구</t>
  </si>
  <si>
    <t>R2
친밀감</t>
  </si>
  <si>
    <t>D1
채널이동</t>
  </si>
  <si>
    <t>D2
투자금</t>
  </si>
  <si>
    <t>D3
대납차용</t>
  </si>
  <si>
    <t>D4
경로통제</t>
  </si>
  <si>
    <t>D5
출금조건</t>
  </si>
  <si>
    <t>D6
비밀유지</t>
  </si>
  <si>
    <t>D7
정보·앱</t>
  </si>
  <si>
    <t>P1
수익보장</t>
  </si>
  <si>
    <t>P2
권위</t>
  </si>
  <si>
    <t>P3
긴급성</t>
  </si>
  <si>
    <t>P4
확인회피</t>
  </si>
  <si>
    <t>G1
선보상</t>
  </si>
  <si>
    <t>G2
급전환</t>
  </si>
  <si>
    <t>G3
금액증가</t>
  </si>
  <si>
    <t>G4
요구반복</t>
  </si>
  <si>
    <t>단계</t>
  </si>
  <si>
    <t>확신</t>
  </si>
  <si>
    <t>메모</t>
  </si>
  <si>
    <t>확인</t>
  </si>
  <si>
    <t>d0</t>
  </si>
  <si>
    <t>1:1 대화 A</t>
  </si>
  <si>
    <t>상대</t>
  </si>
  <si>
    <t>저는 한국계 미국인이고 국내 대기업에서 엔지니어로 일해요.</t>
  </si>
  <si>
    <t>나</t>
  </si>
  <si>
    <t>그렇군요 반가워요</t>
  </si>
  <si>
    <t>d5</t>
  </si>
  <si>
    <t>지금 오만 바다 한가운데 현장에 나와 있어요. 영상통화가 자꾸 끊기네요.</t>
  </si>
  <si>
    <t>네트워크 문제인가 봐요</t>
  </si>
  <si>
    <t>d8</t>
  </si>
  <si>
    <t>돌아가면 꼭 만나요. 다음 달 둘째 주 어때요?</t>
  </si>
  <si>
    <t>좋아요</t>
  </si>
  <si>
    <t>d30</t>
  </si>
  <si>
    <t>그날 일정이 생겨서 못 갈 것 같아요.</t>
  </si>
  <si>
    <t>d31</t>
  </si>
  <si>
    <t>제 여권 사진 보내 드릴게요.</t>
  </si>
  <si>
    <t>[사진]</t>
  </si>
  <si>
    <t>d35</t>
  </si>
  <si>
    <t>부탁이 하나 있는데, 이 이메일 하나만 대신 보내 줄 수 있어요?</t>
  </si>
  <si>
    <t>보냈어요</t>
  </si>
  <si>
    <t>d40</t>
  </si>
  <si>
    <t>급한 일이 생겼어요. 15억 원짜리 계약을 잃게 생겼어요.</t>
  </si>
  <si>
    <t>제 △△은행 계좌에 돈이 있는데 지금 접근이 안 돼요. 300만 원만 먼저 보내 주면 40% 이자 붙여서 갚을게요.</t>
  </si>
  <si>
    <t>여기서 제 계좌 확인해 보세요. (링크)</t>
  </si>
  <si>
    <t>d41</t>
  </si>
  <si>
    <t>300만 원 보냈어요</t>
  </si>
  <si>
    <t>d45</t>
  </si>
  <si>
    <t>문자</t>
  </si>
  <si>
    <t>△△익스프레스</t>
  </si>
  <si>
    <t>[△△익스프레스] 통관 대기 중인 화물이 있습니다. 운송장 번호로 조회하세요. (링크)</t>
  </si>
  <si>
    <t>통관 비용이 나왔대요. 이것만 대신 내 주면 바로 돌려줄게요.</t>
  </si>
  <si>
    <t>d46</t>
  </si>
  <si>
    <t>통관비 보냈어요</t>
  </si>
  <si>
    <t>안녕하세요, 피해 모임 블로그 보고 연락드렸습니다. 저도 코인으로 피해를 봤어요.</t>
  </si>
  <si>
    <t>투자 전문가</t>
  </si>
  <si>
    <t>연락 주셔서 감사합니다. 어떤 일이 있으셨는지 말씀해 주세요.</t>
  </si>
  <si>
    <t>코인 업체에 넣은 돈을 못 돌려받고 있어요.</t>
  </si>
  <si>
    <t>피해 회복을 위한 집단 소송을 도와드리겠습니다.</t>
  </si>
  <si>
    <t>d1</t>
  </si>
  <si>
    <t>정말요? 감사합니다</t>
  </si>
  <si>
    <t>d7</t>
  </si>
  <si>
    <t>코인 업체에서 보상확약서를 받으실 수 있게 도와드릴게요.</t>
  </si>
  <si>
    <t>d10</t>
  </si>
  <si>
    <t>보상확약서 받았어요. 덕분이에요</t>
  </si>
  <si>
    <t>d14</t>
  </si>
  <si>
    <t>좋은 비상장주식이 있습니다. 매수하시면 피해 금액 이상 회복하실 수 있어요.</t>
  </si>
  <si>
    <t>얼마나 사면 될까요?</t>
  </si>
  <si>
    <t>1만 8천 주 매수를 권해 드립니다.</t>
  </si>
  <si>
    <t>d15</t>
  </si>
  <si>
    <t>1만 8천 주 매수했습니다</t>
  </si>
  <si>
    <t>주식 거래는 언제부터 가능한가요?</t>
  </si>
  <si>
    <t>세무조사를 받게 되어 거래가 어렵습니다.</t>
  </si>
  <si>
    <t>광고 보고 연락드렸어요</t>
  </si>
  <si>
    <t>상담원</t>
  </si>
  <si>
    <t>장난감 포장이 아니라 영상 캡처 부업이에요. 일본인 브이로그 유튜브 영상을 캡처해서 보내 주시면 1,000~8,000원 드려요.</t>
  </si>
  <si>
    <t>당신이 이 일을 계속해 돈을 벌고 싶다면 전용 계정을 등록해야 합니다.</t>
  </si>
  <si>
    <t>여기서 가입해 주세요. (링크)</t>
  </si>
  <si>
    <t>가입했어요</t>
  </si>
  <si>
    <t>당신과 함께 일할 기회를 주셔서 정말 감사합니다.</t>
  </si>
  <si>
    <t>작업은 텔레그램 단체방에서 진행합니다. (링크)</t>
  </si>
  <si>
    <t>단체방</t>
  </si>
  <si>
    <t>영상 담당자</t>
  </si>
  <si>
    <t>첫 영상입니다. 캡처해서 보내 주세요. (링크)</t>
  </si>
  <si>
    <t>캡처 보냈습니다</t>
  </si>
  <si>
    <t>첫 캡처 5,000원 충전됐습니다.</t>
  </si>
  <si>
    <t>오후 12시 고수익 과제 시작합니다. 5만 원 입금 시 6만 5천 원, 1,000만 원 입금 시 1,400만 원 환급됩니다.</t>
  </si>
  <si>
    <t>신규 가입자는 10만 원까지, 기존 가입자는 30만 원부터 참여 가능합니다.</t>
  </si>
  <si>
    <t>회원A</t>
  </si>
  <si>
    <t>30만 원</t>
  </si>
  <si>
    <t>회원B</t>
  </si>
  <si>
    <t>50만 원</t>
  </si>
  <si>
    <t>회원C</t>
  </si>
  <si>
    <t>10만 원</t>
  </si>
  <si>
    <t>과제는 오후 12시, 3시, 6시에 진행되고, 끝나면 투자금과 수익금을 바로 인출하실 수 있습니다.</t>
  </si>
  <si>
    <t>가상화폐 거래소 상장에 거래량이 필요해서, 그 과정의 수익을 수수료로 돌려드리는 구조입니다.</t>
  </si>
  <si>
    <t>5만 원만 해 볼게요</t>
  </si>
  <si>
    <t>입금은 ATM이나 인터넷뱅킹으로만 해 주세요.</t>
  </si>
  <si>
    <t>은행 창구 송금을 금지합니다.</t>
  </si>
  <si>
    <t>수익은 어떤 방식으로 나는 건가요?</t>
  </si>
  <si>
    <t>주민등록증 사진과 휴대전화 번호를 보내 주세요.</t>
  </si>
  <si>
    <t>비서</t>
  </si>
  <si>
    <t>OO 선생님 무료 주식 강의방에 오신 것을 환영합니다. 공지사항 먼저 확인 부탁드립니다.</t>
  </si>
  <si>
    <t>오늘 저녁 7시 30분 매우 중요한 강의가 있습니다. 출석 체크 부탁드립니다.</t>
  </si>
  <si>
    <t>출석합니다</t>
  </si>
  <si>
    <t>출석이요</t>
  </si>
  <si>
    <t>이번 주 출석 이벤트: 꾸준히 출석하신 분들께 급등주·우량주 추천과 학습자료, 오프라인 학습 기회를 드립니다.</t>
  </si>
  <si>
    <t>d2</t>
  </si>
  <si>
    <t>[오전 해외 증시 분석] 간밤 나스닥 상승 마감, 반도체 업종 강세입니다.</t>
  </si>
  <si>
    <t>오늘 단타 종목: 가나전자 매수 10,500원 / 매도 11,100원</t>
  </si>
  <si>
    <t>가나전자 지금 11,100원 도달했습니다. 지금 매도하시면 됩니다.</t>
  </si>
  <si>
    <t>네 매도했어요 감사합니다</t>
  </si>
  <si>
    <t>선생님 저서 보내드렸는데 잘 받으셨나요?</t>
  </si>
  <si>
    <t>네 오늘 받았어요</t>
  </si>
  <si>
    <t>d20</t>
  </si>
  <si>
    <t>회원님들 감사의 의미로 홍삼 세트 보내드리려고 합니다. 받으실 분 주소 남겨주세요.</t>
  </si>
  <si>
    <t>d23</t>
  </si>
  <si>
    <t>홍삼 잘 받았습니다</t>
  </si>
  <si>
    <t>강사</t>
  </si>
  <si>
    <t>회원분들께 P 프로젝트를 소개합니다. 증권사와 여러 기관이 함께하는 투자이고, 정부가 코스피 5000 달성을 위해 뒤에서 지원합니다.</t>
  </si>
  <si>
    <t>회원들에게만 특별히 기회를 주는 것입니다.</t>
  </si>
  <si>
    <t>이번이 마지막 5차이고 영업일 기준 20일, 500% 이상 수익 보장입니다. AI가 매일 오전 저가 매수 후 오후 1시경 매도합니다.</t>
  </si>
  <si>
    <t>증권사 내부에서도 기밀인 만큼 철저히 비밀을 유지해 주세요.</t>
  </si>
  <si>
    <t>빨리 시작하고 싶네요</t>
  </si>
  <si>
    <t>저도 참여하겠습니다</t>
  </si>
  <si>
    <t>d36</t>
  </si>
  <si>
    <t>어떻게 참여하나요?</t>
  </si>
  <si>
    <t>d43</t>
  </si>
  <si>
    <t>첫날 수익 15% 넘었습니다</t>
  </si>
  <si>
    <t>투자 첫날에는 투자금의 100%에 대해 매수 자격을 주고 그다음 날부터는 액수에 따라 매수 가능한 분배 비율을 차등 적용한다</t>
  </si>
  <si>
    <t>분배 비율: 3천만 원 이하 20%, 3천만~5천만 원 30%, 5천만~1억 원 50%, 1억~3억 원 75%, 3억 원 초과 100%</t>
  </si>
  <si>
    <t>분배되지 않은 자금에는 은행보다 높은 복리 이자를 드립니다.</t>
  </si>
  <si>
    <t>d44</t>
  </si>
  <si>
    <t>참여 금액은 아래 지정 계좌로 입금해 주시면 됩니다. B은행 (계좌번호)</t>
  </si>
  <si>
    <t>5천만 원 보냈습니다</t>
  </si>
  <si>
    <t>확인했습니다. 오늘 수익률 11%입니다.</t>
  </si>
  <si>
    <t>더 공격적으로 투자하면 더 많은 돈을 벌 수 있어요.</t>
  </si>
  <si>
    <t>추가 입금은 이 계좌로 해주세요. C은행 (계좌번호)</t>
  </si>
  <si>
    <t>대출받아서 5천만 원 더 보냈어요</t>
  </si>
  <si>
    <t>투자금 전액 출금하고 싶어요</t>
  </si>
  <si>
    <t>1:1 대화 B</t>
  </si>
  <si>
    <t>투자금 전액 출금 요청드립니다</t>
  </si>
  <si>
    <t>OO증권 온라인 고객센터</t>
  </si>
  <si>
    <t>투자금의 50%를 보증금으로 보내주시면 투자금 전부를 이체해 드리겠습니다.</t>
  </si>
  <si>
    <t>그건 못 하겠습니다</t>
  </si>
  <si>
    <t>안녕하세요, 좋은 하루 보내고 있나요?</t>
  </si>
  <si>
    <t>네 안녕하세요</t>
  </si>
  <si>
    <t>d3</t>
  </si>
  <si>
    <t>저는 팬들의 자산을 불려 주는 걸 좋아해요. 비트코인 투자를 해 보세요.</t>
  </si>
  <si>
    <t>저는 괜찮아요</t>
  </si>
  <si>
    <t>d4</t>
  </si>
  <si>
    <t>작게라도 한번 시작해 보세요. 제가 도와줄게요.</t>
  </si>
  <si>
    <t>10만 원만 해 볼게요</t>
  </si>
  <si>
    <t>회사 지갑 주소로 보내세요. (지갑 주소)</t>
  </si>
  <si>
    <t>나머지는 한국인 직원 계좌로 보내면 됩니다. (은행) (계좌번호)</t>
  </si>
  <si>
    <t>방금 출근했어요</t>
  </si>
  <si>
    <t>d9</t>
  </si>
  <si>
    <t>제 명함과 여권이에요</t>
  </si>
  <si>
    <t>수수료 5~10%를 줄 테니 1억 원을 비트코인으로 바꿔서 제 지갑으로 보내 줄 수 있어요?</t>
  </si>
  <si>
    <t>그건 위험할 것 같아서 못 하겠어요</t>
  </si>
  <si>
    <t>투자는 멈추지 말아 줘요. 미안해요.</t>
  </si>
  <si>
    <t>d19</t>
  </si>
  <si>
    <t>이제 그만하고 싶어요</t>
  </si>
  <si>
    <t>얼마나 더 증명해야 믿어 줄 거예요?</t>
  </si>
  <si>
    <t>당신은 입이 무거운 사람이라 믿어요.</t>
  </si>
  <si>
    <t>남편에게는 몸이 아프다고 하고 투자는 계속하세요.</t>
  </si>
  <si>
    <t>d21</t>
  </si>
  <si>
    <t>돈을 찾으려면 조금 더 입금해야 해요.</t>
  </si>
  <si>
    <t>d22</t>
  </si>
  <si>
    <t>더 보냈어요</t>
  </si>
  <si>
    <t>사례</t>
  </si>
  <si>
    <t>메시지 수</t>
  </si>
  <si>
    <t>첫 금전 권유
(번호)</t>
  </si>
  <si>
    <t>첫 송금 직전
(번호)</t>
  </si>
  <si>
    <t>송금 있었나
(Y/N)</t>
  </si>
  <si>
    <t>고른 이유 (두 지점 각각, 고민한 다른 번호도)</t>
  </si>
  <si>
    <t>C03</t>
  </si>
  <si>
    <t>C05</t>
  </si>
  <si>
    <t>C06</t>
  </si>
  <si>
    <t>C08</t>
  </si>
  <si>
    <t>C09</t>
  </si>
  <si>
    <t>첫 금전 권유: 상대가 돈을 쓰라고 처음 권한 메시지 (구체 지시가 없어도 됨).</t>
  </si>
  <si>
    <t>첫 송금 직전: "나"가 처음 실제로 돈을 보내기 바로 앞의 상대방 메시지 (다른 방이어도 됨). 송금이 없으면 금액·계좌·사이트를 처음 정해 준 메시지.</t>
  </si>
  <si>
    <t>"보냈어요"가 돈인지 꼭 확인 — 이메일·사진·캡처는 송금이 아님. 코인 구매·상품권·수수료 결제는 송금.</t>
  </si>
  <si>
    <t>번호 칸은 상대방 메시지 번호만 고를 수 있습니다. 두 지점이 같은 번호여도 됩니다.</t>
  </si>
  <si>
    <r>
      <t xml:space="preserve">3. </t>
    </r>
    <r>
      <rPr>
        <sz val="10"/>
        <rFont val="맑은 고딕"/>
        <family val="3"/>
        <charset val="129"/>
      </rPr>
      <t>상대방</t>
    </r>
    <r>
      <rPr>
        <sz val="10"/>
        <rFont val="Arial"/>
        <family val="2"/>
      </rPr>
      <t xml:space="preserve"> </t>
    </r>
    <r>
      <rPr>
        <sz val="10"/>
        <rFont val="맑은 고딕"/>
        <family val="3"/>
        <charset val="129"/>
      </rPr>
      <t>메시지</t>
    </r>
    <r>
      <rPr>
        <sz val="10"/>
        <rFont val="Arial"/>
        <family val="2"/>
      </rPr>
      <t xml:space="preserve"> </t>
    </r>
    <r>
      <rPr>
        <sz val="10"/>
        <rFont val="맑은 고딕"/>
        <family val="3"/>
        <charset val="129"/>
      </rPr>
      <t>줄에서</t>
    </r>
    <r>
      <rPr>
        <sz val="10"/>
        <rFont val="Arial"/>
        <family val="2"/>
      </rPr>
      <t xml:space="preserve">, </t>
    </r>
    <r>
      <rPr>
        <sz val="10"/>
        <rFont val="맑은 고딕"/>
        <family val="3"/>
        <charset val="129"/>
      </rPr>
      <t>해당하는</t>
    </r>
    <r>
      <rPr>
        <sz val="10"/>
        <rFont val="Arial"/>
        <family val="2"/>
      </rPr>
      <t xml:space="preserve"> </t>
    </r>
    <r>
      <rPr>
        <sz val="10"/>
        <rFont val="맑은 고딕"/>
        <family val="3"/>
        <charset val="129"/>
      </rPr>
      <t>신호</t>
    </r>
    <r>
      <rPr>
        <sz val="10"/>
        <rFont val="Arial"/>
        <family val="2"/>
      </rPr>
      <t xml:space="preserve"> </t>
    </r>
    <r>
      <rPr>
        <sz val="10"/>
        <rFont val="맑은 고딕"/>
        <family val="3"/>
        <charset val="129"/>
      </rPr>
      <t>칸을</t>
    </r>
    <r>
      <rPr>
        <sz val="10"/>
        <rFont val="Arial"/>
        <family val="2"/>
      </rPr>
      <t xml:space="preserve"> </t>
    </r>
    <r>
      <rPr>
        <sz val="10"/>
        <rFont val="맑은 고딕"/>
        <family val="3"/>
        <charset val="129"/>
      </rPr>
      <t>눌러</t>
    </r>
    <r>
      <rPr>
        <sz val="10"/>
        <rFont val="Arial"/>
        <family val="2"/>
      </rPr>
      <t xml:space="preserve"> </t>
    </r>
    <r>
      <rPr>
        <sz val="10"/>
        <rFont val="맑은 고딕"/>
        <family val="3"/>
        <charset val="129"/>
      </rPr>
      <t>드롭다운에서</t>
    </r>
    <r>
      <rPr>
        <sz val="10"/>
        <rFont val="Arial"/>
        <family val="2"/>
      </rPr>
      <t xml:space="preserve"> </t>
    </r>
    <r>
      <rPr>
        <sz val="10"/>
        <rFont val="Segoe UI Symbol"/>
        <family val="2"/>
      </rPr>
      <t>●</t>
    </r>
    <r>
      <rPr>
        <sz val="10"/>
        <rFont val="맑은 고딕"/>
        <family val="3"/>
        <charset val="129"/>
      </rPr>
      <t>를</t>
    </r>
    <r>
      <rPr>
        <sz val="10"/>
        <rFont val="Arial"/>
        <family val="2"/>
      </rPr>
      <t xml:space="preserve"> </t>
    </r>
    <r>
      <rPr>
        <sz val="10"/>
        <rFont val="맑은 고딕"/>
        <family val="3"/>
        <charset val="129"/>
      </rPr>
      <t>고릅니다</t>
    </r>
    <r>
      <rPr>
        <sz val="10"/>
        <rFont val="Arial"/>
        <family val="2"/>
      </rPr>
      <t xml:space="preserve"> (</t>
    </r>
    <r>
      <rPr>
        <sz val="10"/>
        <rFont val="맑은 고딕"/>
        <family val="3"/>
        <charset val="129"/>
      </rPr>
      <t>여러</t>
    </r>
    <r>
      <rPr>
        <sz val="10"/>
        <rFont val="Arial"/>
        <family val="2"/>
      </rPr>
      <t xml:space="preserve"> </t>
    </r>
    <r>
      <rPr>
        <sz val="10"/>
        <rFont val="맑은 고딕"/>
        <family val="3"/>
        <charset val="129"/>
      </rPr>
      <t>개</t>
    </r>
    <r>
      <rPr>
        <sz val="10"/>
        <rFont val="Arial"/>
        <family val="2"/>
      </rPr>
      <t xml:space="preserve"> </t>
    </r>
    <r>
      <rPr>
        <sz val="10"/>
        <rFont val="맑은 고딕"/>
        <family val="3"/>
        <charset val="129"/>
      </rPr>
      <t>가능</t>
    </r>
    <r>
      <rPr>
        <sz val="10"/>
        <rFont val="Arial"/>
        <family val="2"/>
      </rPr>
      <t xml:space="preserve">, </t>
    </r>
    <r>
      <rPr>
        <sz val="10"/>
        <rFont val="맑은 고딕"/>
        <family val="3"/>
        <charset val="129"/>
      </rPr>
      <t>없으면</t>
    </r>
    <r>
      <rPr>
        <sz val="10"/>
        <rFont val="Arial"/>
        <family val="2"/>
      </rPr>
      <t xml:space="preserve"> </t>
    </r>
    <r>
      <rPr>
        <sz val="10"/>
        <rFont val="맑은 고딕"/>
        <family val="3"/>
        <charset val="129"/>
      </rPr>
      <t>비움</t>
    </r>
    <r>
      <rPr>
        <sz val="10"/>
        <rFont val="Arial"/>
        <family val="2"/>
      </rPr>
      <t xml:space="preserve">). </t>
    </r>
    <r>
      <rPr>
        <sz val="10"/>
        <rFont val="맑은 고딕"/>
        <family val="3"/>
        <charset val="129"/>
      </rPr>
      <t>고르면</t>
    </r>
    <r>
      <rPr>
        <sz val="10"/>
        <rFont val="Arial"/>
        <family val="2"/>
      </rPr>
      <t xml:space="preserve"> </t>
    </r>
    <r>
      <rPr>
        <sz val="10"/>
        <rFont val="맑은 고딕"/>
        <family val="3"/>
        <charset val="129"/>
      </rPr>
      <t>칸이</t>
    </r>
    <r>
      <rPr>
        <sz val="10"/>
        <rFont val="Arial"/>
        <family val="2"/>
      </rPr>
      <t xml:space="preserve"> </t>
    </r>
    <r>
      <rPr>
        <sz val="10"/>
        <rFont val="맑은 고딕"/>
        <family val="3"/>
        <charset val="129"/>
      </rPr>
      <t>초록색이</t>
    </r>
    <r>
      <rPr>
        <sz val="10"/>
        <rFont val="Arial"/>
        <family val="2"/>
      </rPr>
      <t xml:space="preserve"> </t>
    </r>
    <r>
      <rPr>
        <sz val="10"/>
        <rFont val="맑은 고딕"/>
        <family val="3"/>
        <charset val="129"/>
      </rPr>
      <t>됩니다</t>
    </r>
    <r>
      <rPr>
        <sz val="10"/>
        <rFont val="Arial"/>
        <family val="2"/>
      </rPr>
      <t xml:space="preserve">. </t>
    </r>
    <r>
      <rPr>
        <sz val="10"/>
        <rFont val="맑은 고딕"/>
        <family val="3"/>
        <charset val="129"/>
      </rPr>
      <t>지우려면</t>
    </r>
    <r>
      <rPr>
        <sz val="10"/>
        <rFont val="Arial"/>
        <family val="2"/>
      </rPr>
      <t xml:space="preserve"> Delete.</t>
    </r>
    <phoneticPr fontId="6" type="noConversion"/>
  </si>
  <si>
    <t>●</t>
  </si>
  <si>
    <t>낮음</t>
  </si>
  <si>
    <t>높음</t>
  </si>
  <si>
    <t>Y</t>
  </si>
  <si>
    <r>
      <t>후에</t>
    </r>
    <r>
      <rPr>
        <sz val="10"/>
        <rFont val="맑은 고딕"/>
        <family val="3"/>
        <charset val="129"/>
      </rPr>
      <t xml:space="preserve"> 대답이 송금을 했다고 말함.</t>
    </r>
    <phoneticPr fontId="6" type="noConversion"/>
  </si>
  <si>
    <r>
      <t>권하는</t>
    </r>
    <r>
      <rPr>
        <sz val="10"/>
        <rFont val="맑은 고딕"/>
        <family val="3"/>
        <charset val="129"/>
      </rPr>
      <t xml:space="preserve"> 주식을 매수하였다는 발언</t>
    </r>
    <phoneticPr fontId="6" type="noConversion"/>
  </si>
  <si>
    <r>
      <t>5만원만</t>
    </r>
    <r>
      <rPr>
        <sz val="10"/>
        <rFont val="맑은 고딕"/>
        <family val="3"/>
        <charset val="129"/>
      </rPr>
      <t xml:space="preserve"> 해볼게요 라는 발언</t>
    </r>
    <phoneticPr fontId="6" type="noConversion"/>
  </si>
  <si>
    <r>
      <t>특정</t>
    </r>
    <r>
      <rPr>
        <sz val="10"/>
        <rFont val="맑은 고딕"/>
        <family val="3"/>
        <charset val="129"/>
      </rPr>
      <t xml:space="preserve"> 시점에 매도하라고 권유, 다른 종목 투자를 위해 투자금을 송금하라고 권유</t>
    </r>
    <phoneticPr fontId="6" type="noConversion"/>
  </si>
  <si>
    <r>
      <t>적은</t>
    </r>
    <r>
      <rPr>
        <sz val="10"/>
        <rFont val="맑은 고딕"/>
        <family val="3"/>
        <charset val="129"/>
      </rPr>
      <t xml:space="preserve"> 금액이라고 한번 해보라고 권유</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</si>
</sst>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3"/>
      <name val="Arial"/>
    </font>
    <font>
      <sz val="10"/>
      <name val="Arial"/>
    </font>
    <font>
      <b/>
      <sz val="10"/>
      <name val="Arial"/>
    </font>
    <font>
      <i/>
      <sz val="10"/>
      <color rgb="FF808080"/>
      <name val="Arial"/>
    </font>
    <font>
      <sz val="9"/>
      <color rgb="FFC00000"/>
      <name val="Arial"/>
    </font>
    <font>
      <sz val="8"/>
      <name val="맑은 고딕"/>
      <family val="3"/>
      <charset val="129"/>
      <scheme val="minor"/>
    </font>
    <font>
      <sz val="10"/>
      <name val="맑은 고딕"/>
      <family val="3"/>
      <charset val="129"/>
    </font>
    <font>
      <sz val="10"/>
      <name val="Arial"/>
      <family val="2"/>
    </font>
    <font>
      <sz val="10"/>
      <name val="Segoe UI Symbol"/>
      <family val="2"/>
    </font>
  </fonts>
  <fills count="5">
    <fill>
      <patternFill patternType="none"/>
    </fill>
    <fill>
      <patternFill patternType="gray125"/>
    </fill>
    <fill>
      <patternFill patternType="solid">
        <fgColor rgb="FFD9E1F2"/>
      </patternFill>
    </fill>
    <fill>
      <patternFill patternType="solid">
        <fgColor rgb="FFFFF9DB"/>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3" fillId="0" borderId="1" xfId="0" applyFont="1" applyBorder="1" applyAlignment="1">
      <alignment vertical="top" wrapText="1"/>
    </xf>
    <xf numFmtId="0" fontId="2" fillId="0" borderId="1" xfId="0" applyFont="1" applyBorder="1" applyAlignment="1">
      <alignment vertical="top" wrapText="1"/>
    </xf>
    <xf numFmtId="0" fontId="4" fillId="0" borderId="0" xfId="0" applyFont="1"/>
    <xf numFmtId="0" fontId="3"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3"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vertical="top" wrapText="1"/>
      <protection locked="0"/>
    </xf>
    <xf numFmtId="0" fontId="5" fillId="0" borderId="1" xfId="0" applyFont="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horizontal="center" vertical="center" wrapText="1"/>
    </xf>
    <xf numFmtId="0" fontId="2" fillId="0" borderId="0" xfId="0" applyFont="1"/>
    <xf numFmtId="0" fontId="0" fillId="0" borderId="0" xfId="0"/>
    <xf numFmtId="0" fontId="8" fillId="0" borderId="0" xfId="0" applyFont="1" applyAlignment="1">
      <alignment vertical="top" wrapText="1"/>
    </xf>
    <xf numFmtId="0" fontId="8" fillId="3" borderId="1" xfId="0" applyFont="1" applyFill="1" applyBorder="1" applyAlignment="1" applyProtection="1">
      <alignment vertical="top" wrapText="1"/>
      <protection locked="0"/>
    </xf>
  </cellXfs>
  <cellStyles count="1">
    <cellStyle name="표준" xfId="0" builtinId="0"/>
  </cellStyles>
  <dxfs count="5">
    <dxf>
      <fill>
        <patternFill patternType="solid">
          <fgColor rgb="FFA9D18E"/>
        </patternFill>
      </fill>
    </dxf>
    <dxf>
      <fill>
        <patternFill patternType="solid">
          <fgColor rgb="FFA9D18E"/>
        </patternFill>
      </fill>
    </dxf>
    <dxf>
      <fill>
        <patternFill patternType="solid">
          <fgColor rgb="FFA9D18E"/>
        </patternFill>
      </fill>
    </dxf>
    <dxf>
      <fill>
        <patternFill patternType="solid">
          <fgColor rgb="FFA9D18E"/>
        </patternFill>
      </fill>
    </dxf>
    <dxf>
      <fill>
        <patternFill patternType="solid">
          <fgColor rgb="FFA9D18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4" sqref="A14"/>
    </sheetView>
  </sheetViews>
  <sheetFormatPr defaultRowHeight="16.5" x14ac:dyDescent="0.3"/>
  <cols>
    <col min="1" max="1" width="100" customWidth="1"/>
  </cols>
  <sheetData>
    <row r="1" spans="1:1" x14ac:dyDescent="0.3">
      <c r="A1" s="1" t="s">
        <v>0</v>
      </c>
    </row>
    <row r="2" spans="1:1" x14ac:dyDescent="0.3">
      <c r="A2" s="2"/>
    </row>
    <row r="3" spans="1:1" x14ac:dyDescent="0.3">
      <c r="A3" s="3" t="s">
        <v>1</v>
      </c>
    </row>
    <row r="4" spans="1:1" x14ac:dyDescent="0.3">
      <c r="A4" s="2"/>
    </row>
    <row r="5" spans="1:1" x14ac:dyDescent="0.3">
      <c r="A5" s="2" t="s">
        <v>2</v>
      </c>
    </row>
    <row r="6" spans="1:1" x14ac:dyDescent="0.3">
      <c r="A6" s="2" t="s">
        <v>3</v>
      </c>
    </row>
    <row r="7" spans="1:1" ht="27.75" x14ac:dyDescent="0.3">
      <c r="A7" s="19" t="s">
        <v>275</v>
      </c>
    </row>
    <row r="8" spans="1:1" x14ac:dyDescent="0.3">
      <c r="A8" s="2" t="s">
        <v>4</v>
      </c>
    </row>
    <row r="9" spans="1:1" x14ac:dyDescent="0.3">
      <c r="A9" s="2" t="s">
        <v>5</v>
      </c>
    </row>
    <row r="10" spans="1:1" x14ac:dyDescent="0.3">
      <c r="A10" s="2" t="s">
        <v>6</v>
      </c>
    </row>
    <row r="11" spans="1:1" x14ac:dyDescent="0.3">
      <c r="A11" s="2" t="s">
        <v>7</v>
      </c>
    </row>
    <row r="12" spans="1:1" x14ac:dyDescent="0.3">
      <c r="A12" s="2"/>
    </row>
    <row r="13" spans="1:1" x14ac:dyDescent="0.3">
      <c r="A13" s="3" t="s">
        <v>8</v>
      </c>
    </row>
    <row r="14" spans="1:1" x14ac:dyDescent="0.3">
      <c r="A14" s="2" t="s">
        <v>9</v>
      </c>
    </row>
    <row r="15" spans="1:1" x14ac:dyDescent="0.3">
      <c r="A15" s="2" t="s">
        <v>10</v>
      </c>
    </row>
    <row r="16" spans="1:1" x14ac:dyDescent="0.3">
      <c r="A16" s="2" t="s">
        <v>11</v>
      </c>
    </row>
    <row r="17" spans="1:1" x14ac:dyDescent="0.3">
      <c r="A17" s="2" t="s">
        <v>12</v>
      </c>
    </row>
    <row r="18" spans="1:1" x14ac:dyDescent="0.3">
      <c r="A18" s="2" t="s">
        <v>13</v>
      </c>
    </row>
    <row r="19" spans="1:1" x14ac:dyDescent="0.3">
      <c r="A19" s="2"/>
    </row>
    <row r="20" spans="1:1" x14ac:dyDescent="0.3">
      <c r="A20" s="3" t="s">
        <v>14</v>
      </c>
    </row>
    <row r="21" spans="1:1" x14ac:dyDescent="0.3">
      <c r="A21" s="2" t="s">
        <v>15</v>
      </c>
    </row>
    <row r="22" spans="1:1" x14ac:dyDescent="0.3">
      <c r="A22" s="2" t="s">
        <v>16</v>
      </c>
    </row>
    <row r="23" spans="1:1" x14ac:dyDescent="0.3">
      <c r="A23" s="2" t="s">
        <v>17</v>
      </c>
    </row>
    <row r="24" spans="1:1" x14ac:dyDescent="0.3">
      <c r="A24" s="2"/>
    </row>
    <row r="25" spans="1:1" x14ac:dyDescent="0.3">
      <c r="A25" s="3" t="s">
        <v>18</v>
      </c>
    </row>
  </sheetData>
  <phoneticPr fontId="6"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workbookViewId="0"/>
  </sheetViews>
  <sheetFormatPr defaultRowHeight="16.5" x14ac:dyDescent="0.3"/>
  <cols>
    <col min="1" max="1" width="8" customWidth="1"/>
    <col min="2" max="2" width="12" customWidth="1"/>
    <col min="3" max="3" width="62" customWidth="1"/>
  </cols>
  <sheetData>
    <row r="1" spans="1:3" x14ac:dyDescent="0.3">
      <c r="A1" s="4" t="s">
        <v>19</v>
      </c>
    </row>
    <row r="2" spans="1:3" x14ac:dyDescent="0.3">
      <c r="A2" s="5" t="s">
        <v>20</v>
      </c>
      <c r="B2" s="6" t="s">
        <v>21</v>
      </c>
      <c r="C2" s="6" t="s">
        <v>22</v>
      </c>
    </row>
    <row r="3" spans="1:3" x14ac:dyDescent="0.3">
      <c r="A3" s="5" t="s">
        <v>23</v>
      </c>
      <c r="B3" s="6" t="s">
        <v>24</v>
      </c>
      <c r="C3" s="6" t="s">
        <v>25</v>
      </c>
    </row>
    <row r="4" spans="1:3" x14ac:dyDescent="0.3">
      <c r="A4" s="5" t="s">
        <v>26</v>
      </c>
      <c r="B4" s="6" t="s">
        <v>27</v>
      </c>
      <c r="C4" s="6" t="s">
        <v>28</v>
      </c>
    </row>
    <row r="5" spans="1:3" x14ac:dyDescent="0.3">
      <c r="A5" s="5" t="s">
        <v>29</v>
      </c>
      <c r="B5" s="6" t="s">
        <v>30</v>
      </c>
      <c r="C5" s="6" t="s">
        <v>31</v>
      </c>
    </row>
    <row r="6" spans="1:3" x14ac:dyDescent="0.3">
      <c r="A6" s="5" t="s">
        <v>32</v>
      </c>
      <c r="B6" s="6" t="s">
        <v>33</v>
      </c>
      <c r="C6" s="6" t="s">
        <v>34</v>
      </c>
    </row>
    <row r="7" spans="1:3" x14ac:dyDescent="0.3">
      <c r="A7" s="5" t="s">
        <v>35</v>
      </c>
      <c r="B7" s="6" t="s">
        <v>36</v>
      </c>
      <c r="C7" s="6" t="s">
        <v>37</v>
      </c>
    </row>
    <row r="8" spans="1:3" x14ac:dyDescent="0.3">
      <c r="A8" s="5" t="s">
        <v>38</v>
      </c>
      <c r="B8" s="6" t="s">
        <v>39</v>
      </c>
      <c r="C8" s="6" t="s">
        <v>40</v>
      </c>
    </row>
    <row r="9" spans="1:3" x14ac:dyDescent="0.3">
      <c r="A9" s="5" t="s">
        <v>41</v>
      </c>
      <c r="B9" s="6" t="s">
        <v>42</v>
      </c>
      <c r="C9" s="6" t="s">
        <v>43</v>
      </c>
    </row>
    <row r="10" spans="1:3" x14ac:dyDescent="0.3">
      <c r="A10" s="5" t="s">
        <v>44</v>
      </c>
      <c r="B10" s="6" t="s">
        <v>45</v>
      </c>
      <c r="C10" s="6" t="s">
        <v>46</v>
      </c>
    </row>
    <row r="11" spans="1:3" x14ac:dyDescent="0.3">
      <c r="A11" s="5" t="s">
        <v>47</v>
      </c>
      <c r="B11" s="6" t="s">
        <v>48</v>
      </c>
      <c r="C11" s="6" t="s">
        <v>49</v>
      </c>
    </row>
    <row r="12" spans="1:3" x14ac:dyDescent="0.3">
      <c r="A12" s="5" t="s">
        <v>50</v>
      </c>
      <c r="B12" s="6" t="s">
        <v>51</v>
      </c>
      <c r="C12" s="6" t="s">
        <v>52</v>
      </c>
    </row>
    <row r="13" spans="1:3" x14ac:dyDescent="0.3">
      <c r="A13" s="5" t="s">
        <v>53</v>
      </c>
      <c r="B13" s="6" t="s">
        <v>54</v>
      </c>
      <c r="C13" s="6" t="s">
        <v>55</v>
      </c>
    </row>
    <row r="14" spans="1:3" x14ac:dyDescent="0.3">
      <c r="A14" s="5" t="s">
        <v>56</v>
      </c>
      <c r="B14" s="6" t="s">
        <v>57</v>
      </c>
      <c r="C14" s="6" t="s">
        <v>58</v>
      </c>
    </row>
    <row r="15" spans="1:3" x14ac:dyDescent="0.3">
      <c r="A15" s="5" t="s">
        <v>59</v>
      </c>
      <c r="B15" s="6" t="s">
        <v>60</v>
      </c>
      <c r="C15" s="6" t="s">
        <v>61</v>
      </c>
    </row>
    <row r="16" spans="1:3" x14ac:dyDescent="0.3">
      <c r="A16" s="5" t="s">
        <v>62</v>
      </c>
      <c r="B16" s="6" t="s">
        <v>63</v>
      </c>
      <c r="C16" s="6" t="s">
        <v>64</v>
      </c>
    </row>
    <row r="17" spans="1:3" x14ac:dyDescent="0.3">
      <c r="A17" s="5" t="s">
        <v>65</v>
      </c>
      <c r="B17" s="6" t="s">
        <v>66</v>
      </c>
      <c r="C17" s="6" t="s">
        <v>67</v>
      </c>
    </row>
    <row r="18" spans="1:3" x14ac:dyDescent="0.3">
      <c r="A18" s="5" t="s">
        <v>68</v>
      </c>
      <c r="B18" s="6" t="s">
        <v>69</v>
      </c>
      <c r="C18" s="6" t="s">
        <v>70</v>
      </c>
    </row>
    <row r="20" spans="1:3" x14ac:dyDescent="0.3">
      <c r="A20" s="4" t="s">
        <v>71</v>
      </c>
    </row>
    <row r="21" spans="1:3" x14ac:dyDescent="0.3">
      <c r="A21" s="5" t="s">
        <v>72</v>
      </c>
      <c r="B21" s="6"/>
      <c r="C21" s="6" t="s">
        <v>73</v>
      </c>
    </row>
    <row r="22" spans="1:3" x14ac:dyDescent="0.3">
      <c r="A22" s="5" t="s">
        <v>74</v>
      </c>
      <c r="B22" s="6"/>
      <c r="C22" s="6" t="s">
        <v>75</v>
      </c>
    </row>
    <row r="23" spans="1:3" x14ac:dyDescent="0.3">
      <c r="A23" s="5" t="s">
        <v>76</v>
      </c>
      <c r="B23" s="6"/>
      <c r="C23" s="6" t="s">
        <v>77</v>
      </c>
    </row>
    <row r="24" spans="1:3" x14ac:dyDescent="0.3">
      <c r="A24" s="5" t="s">
        <v>78</v>
      </c>
      <c r="B24" s="6"/>
      <c r="C24" s="6" t="s">
        <v>79</v>
      </c>
    </row>
    <row r="25" spans="1:3" x14ac:dyDescent="0.3">
      <c r="A25" s="5" t="s">
        <v>80</v>
      </c>
      <c r="B25" s="6"/>
      <c r="C25" s="6" t="s">
        <v>81</v>
      </c>
    </row>
    <row r="26" spans="1:3" x14ac:dyDescent="0.3">
      <c r="A26" s="5" t="s">
        <v>82</v>
      </c>
      <c r="B26" s="6"/>
      <c r="C26" s="6" t="s">
        <v>83</v>
      </c>
    </row>
    <row r="28" spans="1:3" x14ac:dyDescent="0.3">
      <c r="A28" s="7" t="s">
        <v>84</v>
      </c>
    </row>
  </sheetData>
  <sheetProtection sheet="1"/>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9"/>
  <sheetViews>
    <sheetView workbookViewId="0">
      <pane xSplit="5" ySplit="1" topLeftCell="F2" activePane="bottomRight" state="frozen"/>
      <selection pane="topRight"/>
      <selection pane="bottomLeft"/>
      <selection pane="bottomRight" activeCell="X17" sqref="X17"/>
    </sheetView>
  </sheetViews>
  <sheetFormatPr defaultRowHeight="16.5" x14ac:dyDescent="0.3"/>
  <cols>
    <col min="1" max="1" width="5" customWidth="1"/>
    <col min="2" max="2" width="6" customWidth="1"/>
    <col min="3" max="3" width="11" customWidth="1"/>
    <col min="4" max="4" width="12" customWidth="1"/>
    <col min="5" max="5" width="58" customWidth="1"/>
    <col min="6" max="22" width="7" customWidth="1"/>
    <col min="23" max="23" width="10" customWidth="1"/>
    <col min="24" max="24" width="7" customWidth="1"/>
    <col min="25" max="25" width="30" customWidth="1"/>
    <col min="26" max="26" width="14" customWidth="1"/>
  </cols>
  <sheetData>
    <row r="1" spans="1:26" ht="45.95" customHeight="1" x14ac:dyDescent="0.3">
      <c r="A1" s="8" t="s">
        <v>85</v>
      </c>
      <c r="B1" s="8" t="s">
        <v>86</v>
      </c>
      <c r="C1" s="8" t="s">
        <v>87</v>
      </c>
      <c r="D1" s="8" t="s">
        <v>88</v>
      </c>
      <c r="E1" s="8" t="s">
        <v>89</v>
      </c>
      <c r="F1" s="8" t="s">
        <v>90</v>
      </c>
      <c r="G1" s="8" t="s">
        <v>91</v>
      </c>
      <c r="H1" s="8" t="s">
        <v>92</v>
      </c>
      <c r="I1" s="8" t="s">
        <v>93</v>
      </c>
      <c r="J1" s="8" t="s">
        <v>94</v>
      </c>
      <c r="K1" s="8" t="s">
        <v>95</v>
      </c>
      <c r="L1" s="8" t="s">
        <v>96</v>
      </c>
      <c r="M1" s="8" t="s">
        <v>97</v>
      </c>
      <c r="N1" s="8" t="s">
        <v>98</v>
      </c>
      <c r="O1" s="8" t="s">
        <v>99</v>
      </c>
      <c r="P1" s="8" t="s">
        <v>100</v>
      </c>
      <c r="Q1" s="8" t="s">
        <v>101</v>
      </c>
      <c r="R1" s="8" t="s">
        <v>102</v>
      </c>
      <c r="S1" s="8" t="s">
        <v>103</v>
      </c>
      <c r="T1" s="8" t="s">
        <v>104</v>
      </c>
      <c r="U1" s="8" t="s">
        <v>105</v>
      </c>
      <c r="V1" s="8" t="s">
        <v>106</v>
      </c>
      <c r="W1" s="8" t="s">
        <v>107</v>
      </c>
      <c r="X1" s="8" t="s">
        <v>108</v>
      </c>
      <c r="Y1" s="8" t="s">
        <v>109</v>
      </c>
      <c r="Z1" s="8" t="s">
        <v>110</v>
      </c>
    </row>
    <row r="2" spans="1:26" ht="33.950000000000003" customHeight="1" x14ac:dyDescent="0.3">
      <c r="A2" s="9">
        <v>1</v>
      </c>
      <c r="B2" s="9" t="s">
        <v>111</v>
      </c>
      <c r="C2" s="9" t="s">
        <v>112</v>
      </c>
      <c r="D2" s="9" t="s">
        <v>113</v>
      </c>
      <c r="E2" s="6" t="s">
        <v>114</v>
      </c>
      <c r="F2" s="10"/>
      <c r="G2" s="10"/>
      <c r="H2" s="10"/>
      <c r="I2" s="10"/>
      <c r="J2" s="10"/>
      <c r="K2" s="10"/>
      <c r="L2" s="10"/>
      <c r="M2" s="10"/>
      <c r="N2" s="10"/>
      <c r="O2" s="10"/>
      <c r="P2" s="10"/>
      <c r="Q2" s="10"/>
      <c r="R2" s="10"/>
      <c r="S2" s="10"/>
      <c r="T2" s="10"/>
      <c r="U2" s="10"/>
      <c r="V2" s="10"/>
      <c r="W2" s="10" t="s">
        <v>72</v>
      </c>
      <c r="X2" s="10" t="s">
        <v>278</v>
      </c>
      <c r="Y2" s="11"/>
      <c r="Z2" s="12" t="str">
        <f>IF(AND(W2="",X2=""),"단계·확신 비어 있음",IF(W2="","단계 비어 있음",IF(X2="","확신 비어 있음","")))</f>
        <v/>
      </c>
    </row>
    <row r="3" spans="1:26" ht="18.95" customHeight="1" x14ac:dyDescent="0.3">
      <c r="A3" s="13">
        <v>2</v>
      </c>
      <c r="B3" s="13" t="s">
        <v>111</v>
      </c>
      <c r="C3" s="13" t="s">
        <v>112</v>
      </c>
      <c r="D3" s="13" t="s">
        <v>115</v>
      </c>
      <c r="E3" s="14" t="s">
        <v>116</v>
      </c>
      <c r="F3" s="15"/>
      <c r="G3" s="15"/>
      <c r="H3" s="15"/>
      <c r="I3" s="15"/>
      <c r="J3" s="15"/>
      <c r="K3" s="15"/>
      <c r="L3" s="15"/>
      <c r="M3" s="15"/>
      <c r="N3" s="15"/>
      <c r="O3" s="15"/>
      <c r="P3" s="15"/>
      <c r="Q3" s="15"/>
      <c r="R3" s="15"/>
      <c r="S3" s="15"/>
      <c r="T3" s="15"/>
      <c r="U3" s="15"/>
      <c r="V3" s="15"/>
      <c r="W3" s="15"/>
      <c r="X3" s="15"/>
      <c r="Y3" s="15"/>
      <c r="Z3" s="15"/>
    </row>
    <row r="4" spans="1:26" ht="33.950000000000003" customHeight="1" x14ac:dyDescent="0.3">
      <c r="A4" s="9">
        <v>3</v>
      </c>
      <c r="B4" s="9" t="s">
        <v>117</v>
      </c>
      <c r="C4" s="9" t="s">
        <v>112</v>
      </c>
      <c r="D4" s="9" t="s">
        <v>113</v>
      </c>
      <c r="E4" s="6" t="s">
        <v>118</v>
      </c>
      <c r="F4" s="10"/>
      <c r="G4" s="10"/>
      <c r="H4" s="10"/>
      <c r="I4" s="10"/>
      <c r="J4" s="10"/>
      <c r="K4" s="10"/>
      <c r="L4" s="10"/>
      <c r="M4" s="10"/>
      <c r="N4" s="10"/>
      <c r="O4" s="10"/>
      <c r="P4" s="10"/>
      <c r="Q4" s="10"/>
      <c r="R4" s="10"/>
      <c r="S4" s="10"/>
      <c r="T4" s="10"/>
      <c r="U4" s="10"/>
      <c r="V4" s="10"/>
      <c r="W4" s="10" t="s">
        <v>82</v>
      </c>
      <c r="X4" s="10" t="s">
        <v>277</v>
      </c>
      <c r="Y4" s="11"/>
      <c r="Z4" s="12" t="str">
        <f>IF(AND(W4="",X4=""),"단계·확신 비어 있음",IF(W4="","단계 비어 있음",IF(X4="","확신 비어 있음","")))</f>
        <v/>
      </c>
    </row>
    <row r="5" spans="1:26" ht="18.95" customHeight="1" x14ac:dyDescent="0.3">
      <c r="A5" s="13">
        <v>4</v>
      </c>
      <c r="B5" s="13" t="s">
        <v>117</v>
      </c>
      <c r="C5" s="13" t="s">
        <v>112</v>
      </c>
      <c r="D5" s="13" t="s">
        <v>115</v>
      </c>
      <c r="E5" s="14" t="s">
        <v>119</v>
      </c>
      <c r="F5" s="15"/>
      <c r="G5" s="15"/>
      <c r="H5" s="15"/>
      <c r="I5" s="15"/>
      <c r="J5" s="15"/>
      <c r="K5" s="15"/>
      <c r="L5" s="15"/>
      <c r="M5" s="15"/>
      <c r="N5" s="15"/>
      <c r="O5" s="15"/>
      <c r="P5" s="15"/>
      <c r="Q5" s="15"/>
      <c r="R5" s="15"/>
      <c r="S5" s="15"/>
      <c r="T5" s="15"/>
      <c r="U5" s="15"/>
      <c r="V5" s="15"/>
      <c r="W5" s="15"/>
      <c r="X5" s="15"/>
      <c r="Y5" s="15"/>
      <c r="Z5" s="15"/>
    </row>
    <row r="6" spans="1:26" ht="18.95" customHeight="1" x14ac:dyDescent="0.3">
      <c r="A6" s="9">
        <v>5</v>
      </c>
      <c r="B6" s="9" t="s">
        <v>120</v>
      </c>
      <c r="C6" s="9" t="s">
        <v>112</v>
      </c>
      <c r="D6" s="9" t="s">
        <v>113</v>
      </c>
      <c r="E6" s="6" t="s">
        <v>121</v>
      </c>
      <c r="F6" s="10"/>
      <c r="G6" s="10"/>
      <c r="H6" s="10"/>
      <c r="I6" s="10"/>
      <c r="J6" s="10"/>
      <c r="K6" s="10"/>
      <c r="L6" s="10"/>
      <c r="M6" s="10"/>
      <c r="N6" s="10"/>
      <c r="O6" s="10"/>
      <c r="P6" s="10"/>
      <c r="Q6" s="10"/>
      <c r="R6" s="10"/>
      <c r="S6" s="10"/>
      <c r="T6" s="10"/>
      <c r="U6" s="10"/>
      <c r="V6" s="10"/>
      <c r="W6" s="10" t="s">
        <v>74</v>
      </c>
      <c r="X6" s="10" t="s">
        <v>278</v>
      </c>
      <c r="Y6" s="11"/>
      <c r="Z6" s="12" t="str">
        <f>IF(AND(W6="",X6=""),"단계·확신 비어 있음",IF(W6="","단계 비어 있음",IF(X6="","확신 비어 있음","")))</f>
        <v/>
      </c>
    </row>
    <row r="7" spans="1:26" ht="18.95" customHeight="1" x14ac:dyDescent="0.3">
      <c r="A7" s="13">
        <v>6</v>
      </c>
      <c r="B7" s="13" t="s">
        <v>120</v>
      </c>
      <c r="C7" s="13" t="s">
        <v>112</v>
      </c>
      <c r="D7" s="13" t="s">
        <v>115</v>
      </c>
      <c r="E7" s="14" t="s">
        <v>122</v>
      </c>
      <c r="F7" s="15"/>
      <c r="G7" s="15"/>
      <c r="H7" s="15"/>
      <c r="I7" s="15"/>
      <c r="J7" s="15"/>
      <c r="K7" s="15"/>
      <c r="L7" s="15"/>
      <c r="M7" s="15"/>
      <c r="N7" s="15"/>
      <c r="O7" s="15"/>
      <c r="P7" s="15"/>
      <c r="Q7" s="15"/>
      <c r="R7" s="15"/>
      <c r="S7" s="15"/>
      <c r="T7" s="15"/>
      <c r="U7" s="15"/>
      <c r="V7" s="15"/>
      <c r="W7" s="15"/>
      <c r="X7" s="15"/>
      <c r="Y7" s="15"/>
      <c r="Z7" s="15"/>
    </row>
    <row r="8" spans="1:26" ht="18.95" customHeight="1" x14ac:dyDescent="0.3">
      <c r="A8" s="9">
        <v>7</v>
      </c>
      <c r="B8" s="9" t="s">
        <v>123</v>
      </c>
      <c r="C8" s="9" t="s">
        <v>112</v>
      </c>
      <c r="D8" s="9" t="s">
        <v>113</v>
      </c>
      <c r="E8" s="6" t="s">
        <v>124</v>
      </c>
      <c r="F8" s="10"/>
      <c r="G8" s="10" t="s">
        <v>276</v>
      </c>
      <c r="H8" s="10"/>
      <c r="I8" s="10"/>
      <c r="J8" s="10"/>
      <c r="K8" s="10"/>
      <c r="L8" s="10"/>
      <c r="M8" s="10"/>
      <c r="N8" s="10"/>
      <c r="O8" s="10"/>
      <c r="P8" s="10"/>
      <c r="Q8" s="10"/>
      <c r="R8" s="10"/>
      <c r="S8" s="10"/>
      <c r="T8" s="10"/>
      <c r="U8" s="10"/>
      <c r="V8" s="10"/>
      <c r="W8" s="10" t="s">
        <v>82</v>
      </c>
      <c r="X8" s="10" t="s">
        <v>278</v>
      </c>
      <c r="Y8" s="11"/>
      <c r="Z8" s="12" t="str">
        <f>IF(AND(W8="",X8=""),"단계·확신 비어 있음",IF(W8="","단계 비어 있음",IF(X8="","확신 비어 있음","")))</f>
        <v/>
      </c>
    </row>
    <row r="9" spans="1:26" ht="18.95" customHeight="1" x14ac:dyDescent="0.3">
      <c r="A9" s="9">
        <v>8</v>
      </c>
      <c r="B9" s="9" t="s">
        <v>125</v>
      </c>
      <c r="C9" s="9" t="s">
        <v>112</v>
      </c>
      <c r="D9" s="9" t="s">
        <v>113</v>
      </c>
      <c r="E9" s="6" t="s">
        <v>126</v>
      </c>
      <c r="F9" s="10"/>
      <c r="G9" s="10"/>
      <c r="H9" s="10"/>
      <c r="I9" s="10"/>
      <c r="J9" s="10"/>
      <c r="K9" s="10"/>
      <c r="L9" s="10"/>
      <c r="M9" s="10"/>
      <c r="N9" s="10"/>
      <c r="O9" s="10"/>
      <c r="P9" s="10"/>
      <c r="Q9" s="10"/>
      <c r="R9" s="10"/>
      <c r="S9" s="10"/>
      <c r="T9" s="10"/>
      <c r="U9" s="10"/>
      <c r="V9" s="10"/>
      <c r="W9" s="10" t="s">
        <v>74</v>
      </c>
      <c r="X9" s="10" t="s">
        <v>278</v>
      </c>
      <c r="Y9" s="11"/>
      <c r="Z9" s="12" t="str">
        <f>IF(AND(W9="",X9=""),"단계·확신 비어 있음",IF(W9="","단계 비어 있음",IF(X9="","확신 비어 있음","")))</f>
        <v/>
      </c>
    </row>
    <row r="10" spans="1:26" ht="18.95" customHeight="1" x14ac:dyDescent="0.3">
      <c r="A10" s="9">
        <v>9</v>
      </c>
      <c r="B10" s="9" t="s">
        <v>125</v>
      </c>
      <c r="C10" s="9" t="s">
        <v>112</v>
      </c>
      <c r="D10" s="9" t="s">
        <v>113</v>
      </c>
      <c r="E10" s="6" t="s">
        <v>127</v>
      </c>
      <c r="F10" s="10"/>
      <c r="G10" s="10"/>
      <c r="H10" s="10"/>
      <c r="I10" s="10"/>
      <c r="J10" s="10"/>
      <c r="K10" s="10"/>
      <c r="L10" s="10"/>
      <c r="M10" s="10"/>
      <c r="N10" s="10"/>
      <c r="O10" s="10"/>
      <c r="P10" s="10"/>
      <c r="Q10" s="10"/>
      <c r="R10" s="10"/>
      <c r="S10" s="10"/>
      <c r="T10" s="10"/>
      <c r="U10" s="10"/>
      <c r="V10" s="10"/>
      <c r="W10" s="10" t="s">
        <v>74</v>
      </c>
      <c r="X10" s="10" t="s">
        <v>278</v>
      </c>
      <c r="Y10" s="11"/>
      <c r="Z10" s="12" t="str">
        <f>IF(AND(W10="",X10=""),"단계·확신 비어 있음",IF(W10="","단계 비어 있음",IF(X10="","확신 비어 있음","")))</f>
        <v/>
      </c>
    </row>
    <row r="11" spans="1:26" ht="33.950000000000003" customHeight="1" x14ac:dyDescent="0.3">
      <c r="A11" s="9">
        <v>10</v>
      </c>
      <c r="B11" s="9" t="s">
        <v>128</v>
      </c>
      <c r="C11" s="9" t="s">
        <v>112</v>
      </c>
      <c r="D11" s="9" t="s">
        <v>113</v>
      </c>
      <c r="E11" s="6" t="s">
        <v>129</v>
      </c>
      <c r="F11" s="10"/>
      <c r="G11" s="10"/>
      <c r="H11" s="10"/>
      <c r="I11" s="10"/>
      <c r="J11" s="10"/>
      <c r="K11" s="10"/>
      <c r="L11" s="10"/>
      <c r="M11" s="10"/>
      <c r="N11" s="10"/>
      <c r="O11" s="10"/>
      <c r="P11" s="10"/>
      <c r="Q11" s="10"/>
      <c r="R11" s="10"/>
      <c r="S11" s="10"/>
      <c r="T11" s="10"/>
      <c r="U11" s="10"/>
      <c r="V11" s="10"/>
      <c r="W11" s="10" t="s">
        <v>76</v>
      </c>
      <c r="X11" s="10" t="s">
        <v>278</v>
      </c>
      <c r="Y11" s="11"/>
      <c r="Z11" s="12" t="str">
        <f>IF(AND(W11="",X11=""),"단계·확신 비어 있음",IF(W11="","단계 비어 있음",IF(X11="","확신 비어 있음","")))</f>
        <v/>
      </c>
    </row>
    <row r="12" spans="1:26" ht="18.95" customHeight="1" x14ac:dyDescent="0.3">
      <c r="A12" s="13">
        <v>11</v>
      </c>
      <c r="B12" s="13" t="s">
        <v>128</v>
      </c>
      <c r="C12" s="13" t="s">
        <v>112</v>
      </c>
      <c r="D12" s="13" t="s">
        <v>115</v>
      </c>
      <c r="E12" s="14" t="s">
        <v>130</v>
      </c>
      <c r="F12" s="15"/>
      <c r="G12" s="15"/>
      <c r="H12" s="15"/>
      <c r="I12" s="15"/>
      <c r="J12" s="15"/>
      <c r="K12" s="15"/>
      <c r="L12" s="15"/>
      <c r="M12" s="15"/>
      <c r="N12" s="15"/>
      <c r="O12" s="15"/>
      <c r="P12" s="15"/>
      <c r="Q12" s="15"/>
      <c r="R12" s="15"/>
      <c r="S12" s="15"/>
      <c r="T12" s="15"/>
      <c r="U12" s="15"/>
      <c r="V12" s="15"/>
      <c r="W12" s="15"/>
      <c r="X12" s="15"/>
      <c r="Y12" s="15"/>
      <c r="Z12" s="15"/>
    </row>
    <row r="13" spans="1:26" ht="33.950000000000003" customHeight="1" x14ac:dyDescent="0.3">
      <c r="A13" s="9">
        <v>12</v>
      </c>
      <c r="B13" s="9" t="s">
        <v>131</v>
      </c>
      <c r="C13" s="9" t="s">
        <v>112</v>
      </c>
      <c r="D13" s="9" t="s">
        <v>113</v>
      </c>
      <c r="E13" s="6" t="s">
        <v>132</v>
      </c>
      <c r="F13" s="10"/>
      <c r="G13" s="10"/>
      <c r="H13" s="10"/>
      <c r="I13" s="10"/>
      <c r="J13" s="10"/>
      <c r="K13" s="10"/>
      <c r="L13" s="10"/>
      <c r="M13" s="10"/>
      <c r="N13" s="10"/>
      <c r="O13" s="10"/>
      <c r="P13" s="10"/>
      <c r="Q13" s="10" t="s">
        <v>276</v>
      </c>
      <c r="R13" s="10"/>
      <c r="S13" s="10"/>
      <c r="T13" s="10" t="s">
        <v>276</v>
      </c>
      <c r="U13" s="10"/>
      <c r="V13" s="10"/>
      <c r="W13" s="10" t="s">
        <v>74</v>
      </c>
      <c r="X13" s="10" t="s">
        <v>278</v>
      </c>
      <c r="Y13" s="11"/>
      <c r="Z13" s="12" t="str">
        <f>IF(AND(W13="",X13=""),"단계·확신 비어 있음",IF(W13="","단계 비어 있음",IF(X13="","확신 비어 있음","")))</f>
        <v/>
      </c>
    </row>
    <row r="14" spans="1:26" ht="48.95" customHeight="1" x14ac:dyDescent="0.3">
      <c r="A14" s="9">
        <v>13</v>
      </c>
      <c r="B14" s="9" t="s">
        <v>131</v>
      </c>
      <c r="C14" s="9" t="s">
        <v>112</v>
      </c>
      <c r="D14" s="9" t="s">
        <v>113</v>
      </c>
      <c r="E14" s="6" t="s">
        <v>133</v>
      </c>
      <c r="F14" s="10"/>
      <c r="G14" s="10"/>
      <c r="H14" s="10"/>
      <c r="I14" s="10"/>
      <c r="J14" s="10" t="s">
        <v>276</v>
      </c>
      <c r="K14" s="10"/>
      <c r="L14" s="10"/>
      <c r="M14" s="10"/>
      <c r="N14" s="10"/>
      <c r="O14" s="10"/>
      <c r="P14" s="10"/>
      <c r="Q14" s="10"/>
      <c r="R14" s="10"/>
      <c r="S14" s="10"/>
      <c r="T14" s="10"/>
      <c r="U14" s="10"/>
      <c r="V14" s="10"/>
      <c r="W14" s="10" t="s">
        <v>78</v>
      </c>
      <c r="X14" s="10" t="s">
        <v>278</v>
      </c>
      <c r="Y14" s="11"/>
      <c r="Z14" s="12" t="str">
        <f>IF(AND(W14="",X14=""),"단계·확신 비어 있음",IF(W14="","단계 비어 있음",IF(X14="","확신 비어 있음","")))</f>
        <v/>
      </c>
    </row>
    <row r="15" spans="1:26" ht="18.95" customHeight="1" x14ac:dyDescent="0.3">
      <c r="A15" s="9">
        <v>14</v>
      </c>
      <c r="B15" s="9" t="s">
        <v>131</v>
      </c>
      <c r="C15" s="9" t="s">
        <v>112</v>
      </c>
      <c r="D15" s="9" t="s">
        <v>113</v>
      </c>
      <c r="E15" s="6" t="s">
        <v>134</v>
      </c>
      <c r="F15" s="10"/>
      <c r="G15" s="10"/>
      <c r="H15" s="10"/>
      <c r="I15" s="10"/>
      <c r="J15" s="10"/>
      <c r="K15" s="10"/>
      <c r="L15" s="10"/>
      <c r="M15" s="10"/>
      <c r="N15" s="10"/>
      <c r="O15" s="10"/>
      <c r="P15" s="10"/>
      <c r="Q15" s="10"/>
      <c r="R15" s="10"/>
      <c r="S15" s="10"/>
      <c r="T15" s="10"/>
      <c r="U15" s="10"/>
      <c r="V15" s="10"/>
      <c r="W15" s="10" t="s">
        <v>78</v>
      </c>
      <c r="X15" s="10" t="s">
        <v>278</v>
      </c>
      <c r="Y15" s="11"/>
      <c r="Z15" s="12" t="str">
        <f>IF(AND(W15="",X15=""),"단계·확신 비어 있음",IF(W15="","단계 비어 있음",IF(X15="","확신 비어 있음","")))</f>
        <v/>
      </c>
    </row>
    <row r="16" spans="1:26" ht="18.95" customHeight="1" x14ac:dyDescent="0.3">
      <c r="A16" s="13">
        <v>15</v>
      </c>
      <c r="B16" s="13" t="s">
        <v>135</v>
      </c>
      <c r="C16" s="13" t="s">
        <v>112</v>
      </c>
      <c r="D16" s="13" t="s">
        <v>115</v>
      </c>
      <c r="E16" s="14" t="s">
        <v>136</v>
      </c>
      <c r="F16" s="15"/>
      <c r="G16" s="15"/>
      <c r="H16" s="15"/>
      <c r="I16" s="15"/>
      <c r="J16" s="15"/>
      <c r="K16" s="15"/>
      <c r="L16" s="15"/>
      <c r="M16" s="15"/>
      <c r="N16" s="15"/>
      <c r="O16" s="15"/>
      <c r="P16" s="15"/>
      <c r="Q16" s="15"/>
      <c r="R16" s="15"/>
      <c r="S16" s="15"/>
      <c r="T16" s="15"/>
      <c r="U16" s="15"/>
      <c r="V16" s="15"/>
      <c r="W16" s="15"/>
      <c r="X16" s="15"/>
      <c r="Y16" s="15"/>
      <c r="Z16" s="15"/>
    </row>
    <row r="17" spans="1:26" ht="33.950000000000003" customHeight="1" x14ac:dyDescent="0.3">
      <c r="A17" s="9">
        <v>16</v>
      </c>
      <c r="B17" s="9" t="s">
        <v>137</v>
      </c>
      <c r="C17" s="9" t="s">
        <v>138</v>
      </c>
      <c r="D17" s="9" t="s">
        <v>139</v>
      </c>
      <c r="E17" s="6" t="s">
        <v>140</v>
      </c>
      <c r="F17" s="10"/>
      <c r="G17" s="10"/>
      <c r="H17" s="10"/>
      <c r="I17" s="10"/>
      <c r="J17" s="10"/>
      <c r="K17" s="10"/>
      <c r="L17" s="10"/>
      <c r="M17" s="10"/>
      <c r="N17" s="10"/>
      <c r="O17" s="10"/>
      <c r="P17" s="10"/>
      <c r="Q17" s="10"/>
      <c r="R17" s="10"/>
      <c r="S17" s="10"/>
      <c r="T17" s="10"/>
      <c r="U17" s="10"/>
      <c r="V17" s="10"/>
      <c r="W17" s="10" t="s">
        <v>74</v>
      </c>
      <c r="X17" s="10" t="s">
        <v>278</v>
      </c>
      <c r="Y17" s="11"/>
      <c r="Z17" s="12" t="str">
        <f>IF(AND(W17="",X17=""),"단계·확신 비어 있음",IF(W17="","단계 비어 있음",IF(X17="","확신 비어 있음","")))</f>
        <v/>
      </c>
    </row>
    <row r="18" spans="1:26" ht="33.950000000000003" customHeight="1" x14ac:dyDescent="0.3">
      <c r="A18" s="9">
        <v>17</v>
      </c>
      <c r="B18" s="9" t="s">
        <v>137</v>
      </c>
      <c r="C18" s="9" t="s">
        <v>112</v>
      </c>
      <c r="D18" s="9" t="s">
        <v>113</v>
      </c>
      <c r="E18" s="6" t="s">
        <v>141</v>
      </c>
      <c r="F18" s="10"/>
      <c r="G18" s="10"/>
      <c r="H18" s="10"/>
      <c r="I18" s="10"/>
      <c r="J18" s="10"/>
      <c r="K18" s="10"/>
      <c r="L18" s="10"/>
      <c r="M18" s="10"/>
      <c r="N18" s="10"/>
      <c r="O18" s="10"/>
      <c r="P18" s="10"/>
      <c r="Q18" s="10"/>
      <c r="R18" s="10"/>
      <c r="S18" s="10"/>
      <c r="T18" s="10"/>
      <c r="U18" s="10"/>
      <c r="V18" s="10"/>
      <c r="W18" s="10" t="s">
        <v>80</v>
      </c>
      <c r="X18" s="10" t="s">
        <v>278</v>
      </c>
      <c r="Y18" s="11"/>
      <c r="Z18" s="12" t="str">
        <f>IF(AND(W18="",X18=""),"단계·확신 비어 있음",IF(W18="","단계 비어 있음",IF(X18="","확신 비어 있음","")))</f>
        <v/>
      </c>
    </row>
    <row r="19" spans="1:26" ht="18.95" customHeight="1" x14ac:dyDescent="0.3">
      <c r="A19" s="13">
        <v>18</v>
      </c>
      <c r="B19" s="13" t="s">
        <v>142</v>
      </c>
      <c r="C19" s="13" t="s">
        <v>112</v>
      </c>
      <c r="D19" s="13" t="s">
        <v>115</v>
      </c>
      <c r="E19" s="14" t="s">
        <v>143</v>
      </c>
      <c r="F19" s="15"/>
      <c r="G19" s="15"/>
      <c r="H19" s="15"/>
      <c r="I19" s="15"/>
      <c r="J19" s="15"/>
      <c r="K19" s="15"/>
      <c r="L19" s="15"/>
      <c r="M19" s="15"/>
      <c r="N19" s="15"/>
      <c r="O19" s="15"/>
      <c r="P19" s="15"/>
      <c r="Q19" s="15"/>
      <c r="R19" s="15"/>
      <c r="S19" s="15"/>
      <c r="T19" s="15"/>
      <c r="U19" s="15"/>
      <c r="V19" s="15"/>
      <c r="W19" s="15"/>
      <c r="X19" s="15"/>
      <c r="Y19" s="15"/>
      <c r="Z19" s="15"/>
    </row>
  </sheetData>
  <sheetProtection sheet="1" formatColumns="0" formatRows="0"/>
  <phoneticPr fontId="6" type="noConversion"/>
  <conditionalFormatting sqref="F2:V19">
    <cfRule type="expression" dxfId="4" priority="1">
      <formula>F2="●"</formula>
    </cfRule>
  </conditionalFormatting>
  <dataValidations count="3">
    <dataValidation type="list" allowBlank="1" errorTitle="고르기만 가능" error="드롭다운에서 ●를 고르거나 Delete로 지우세요." sqref="F2 F4 F6 F8 F9 F10 F11 F13 F14 F15 F17 F18 G2 G4 G6 G8 G9 G10 G11 G13 G14 G15 G17 G18 H2 H4 H6 H8 H9 H10 H11 H13 H14 H15 H17 H18 I2 I4 I6 I8 I9 I10 I11 I13 I14 I15 I17 I18 J2 J4 J6 J8 J9 J10 J11 J13 J14 J15 J17 J18 K2 K4 K6 K8 K9 K10 K11 K13 K14 K15 K17 K18 L2 L4 L6 L8 L9 L10 L11 L13 L14 L15 L17 L18 M2 M4 M6 M8 M9 M10 M11 M13 M14 M15 M17 M18 N2 N4 N6 N8 N9 N10 N11 N13 N14 N15 N17 N18 O2 O4 O6 O8 O9 O10 O11 O13 O14 O15 O17 O18 P2 P4 P6 P8 P9 P10 P11 P13 P14 P15 P17 P18 Q2 Q4 Q6 Q8 Q9 Q10 Q11 Q13 Q14 Q15 Q17 Q18 R2 R4 R6 R8 R9 R10 R11 R13 R14 R15 R17 R18 S2 S4 S6 S8 S9 S10 S11 S13 S14 S15 S17 S18 T2 T4 T6 T8 T9 T10 T11 T13 T14 T15 T17 T18 U2 U4 U6 U8 U9 U10 U11 U13 U14 U15 U17 U18 V2 V4 V6 V8 V9 V10 V11 V13 V14 V15 V17 V18" xr:uid="{00000000-0002-0000-0200-000000000000}">
      <formula1>"●"</formula1>
    </dataValidation>
    <dataValidation type="list" allowBlank="1" errorTitle="단계" error="드롭다운에서 단계를 고르세요." sqref="W2 W4 W6 W8 W9 W10 W11 W13 W14 W15 W17 W18" xr:uid="{00000000-0002-0000-0200-000001000000}">
      <formula1>"접근,신뢰,유도,요구,추가요구,분류불가"</formula1>
    </dataValidation>
    <dataValidation type="list" allowBlank="1" errorTitle="확신" error="높음 또는 낮음을 고르세요." sqref="X2 X4 X6 X8 X9 X10 X11 X13 X14 X15 X17 X18" xr:uid="{00000000-0002-0000-0200-000002000000}">
      <formula1>"높음,낮음"</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4"/>
  <sheetViews>
    <sheetView workbookViewId="0">
      <pane xSplit="5" ySplit="1" topLeftCell="F2" activePane="bottomRight" state="frozen"/>
      <selection pane="topRight"/>
      <selection pane="bottomLeft"/>
      <selection pane="bottomRight" activeCell="Q20" sqref="Q20"/>
    </sheetView>
  </sheetViews>
  <sheetFormatPr defaultRowHeight="16.5" x14ac:dyDescent="0.3"/>
  <cols>
    <col min="1" max="1" width="5" customWidth="1"/>
    <col min="2" max="2" width="6" customWidth="1"/>
    <col min="3" max="3" width="11" customWidth="1"/>
    <col min="4" max="4" width="12" customWidth="1"/>
    <col min="5" max="5" width="58" customWidth="1"/>
    <col min="6" max="22" width="7" customWidth="1"/>
    <col min="23" max="23" width="10" customWidth="1"/>
    <col min="24" max="24" width="7" customWidth="1"/>
    <col min="25" max="25" width="30" customWidth="1"/>
    <col min="26" max="26" width="14" customWidth="1"/>
  </cols>
  <sheetData>
    <row r="1" spans="1:26" ht="45.95" customHeight="1" x14ac:dyDescent="0.3">
      <c r="A1" s="8" t="s">
        <v>85</v>
      </c>
      <c r="B1" s="8" t="s">
        <v>86</v>
      </c>
      <c r="C1" s="8" t="s">
        <v>87</v>
      </c>
      <c r="D1" s="8" t="s">
        <v>88</v>
      </c>
      <c r="E1" s="8" t="s">
        <v>89</v>
      </c>
      <c r="F1" s="8" t="s">
        <v>90</v>
      </c>
      <c r="G1" s="8" t="s">
        <v>91</v>
      </c>
      <c r="H1" s="8" t="s">
        <v>92</v>
      </c>
      <c r="I1" s="8" t="s">
        <v>93</v>
      </c>
      <c r="J1" s="8" t="s">
        <v>94</v>
      </c>
      <c r="K1" s="8" t="s">
        <v>95</v>
      </c>
      <c r="L1" s="8" t="s">
        <v>96</v>
      </c>
      <c r="M1" s="8" t="s">
        <v>97</v>
      </c>
      <c r="N1" s="8" t="s">
        <v>98</v>
      </c>
      <c r="O1" s="8" t="s">
        <v>99</v>
      </c>
      <c r="P1" s="8" t="s">
        <v>100</v>
      </c>
      <c r="Q1" s="8" t="s">
        <v>101</v>
      </c>
      <c r="R1" s="8" t="s">
        <v>102</v>
      </c>
      <c r="S1" s="8" t="s">
        <v>103</v>
      </c>
      <c r="T1" s="8" t="s">
        <v>104</v>
      </c>
      <c r="U1" s="8" t="s">
        <v>105</v>
      </c>
      <c r="V1" s="8" t="s">
        <v>106</v>
      </c>
      <c r="W1" s="8" t="s">
        <v>107</v>
      </c>
      <c r="X1" s="8" t="s">
        <v>108</v>
      </c>
      <c r="Y1" s="8" t="s">
        <v>109</v>
      </c>
      <c r="Z1" s="8" t="s">
        <v>110</v>
      </c>
    </row>
    <row r="2" spans="1:26" ht="33.950000000000003" customHeight="1" x14ac:dyDescent="0.3">
      <c r="A2" s="13">
        <v>1</v>
      </c>
      <c r="B2" s="13" t="s">
        <v>111</v>
      </c>
      <c r="C2" s="13" t="s">
        <v>112</v>
      </c>
      <c r="D2" s="13" t="s">
        <v>115</v>
      </c>
      <c r="E2" s="14" t="s">
        <v>144</v>
      </c>
      <c r="F2" s="15"/>
      <c r="G2" s="15"/>
      <c r="H2" s="15"/>
      <c r="I2" s="15"/>
      <c r="J2" s="15"/>
      <c r="K2" s="15"/>
      <c r="L2" s="15"/>
      <c r="M2" s="15"/>
      <c r="N2" s="15"/>
      <c r="O2" s="15"/>
      <c r="P2" s="15"/>
      <c r="Q2" s="15"/>
      <c r="R2" s="15"/>
      <c r="S2" s="15"/>
      <c r="T2" s="15"/>
      <c r="U2" s="15"/>
      <c r="V2" s="15"/>
      <c r="W2" s="15"/>
      <c r="X2" s="15"/>
      <c r="Y2" s="15"/>
      <c r="Z2" s="15"/>
    </row>
    <row r="3" spans="1:26" ht="33.950000000000003" customHeight="1" x14ac:dyDescent="0.3">
      <c r="A3" s="9">
        <v>2</v>
      </c>
      <c r="B3" s="9" t="s">
        <v>111</v>
      </c>
      <c r="C3" s="9" t="s">
        <v>112</v>
      </c>
      <c r="D3" s="9" t="s">
        <v>145</v>
      </c>
      <c r="E3" s="6" t="s">
        <v>146</v>
      </c>
      <c r="F3" s="10"/>
      <c r="G3" s="10"/>
      <c r="H3" s="10"/>
      <c r="I3" s="10"/>
      <c r="J3" s="10"/>
      <c r="K3" s="10"/>
      <c r="L3" s="10"/>
      <c r="M3" s="10"/>
      <c r="N3" s="10"/>
      <c r="O3" s="10"/>
      <c r="P3" s="10"/>
      <c r="Q3" s="10"/>
      <c r="R3" s="10"/>
      <c r="S3" s="10"/>
      <c r="T3" s="10"/>
      <c r="U3" s="10"/>
      <c r="V3" s="10"/>
      <c r="W3" s="10" t="s">
        <v>72</v>
      </c>
      <c r="X3" s="10" t="s">
        <v>278</v>
      </c>
      <c r="Y3" s="11"/>
      <c r="Z3" s="12" t="str">
        <f>IF(AND(W3="",X3=""),"단계·확신 비어 있음",IF(W3="","단계 비어 있음",IF(X3="","확신 비어 있음","")))</f>
        <v/>
      </c>
    </row>
    <row r="4" spans="1:26" ht="18.95" customHeight="1" x14ac:dyDescent="0.3">
      <c r="A4" s="13">
        <v>3</v>
      </c>
      <c r="B4" s="13" t="s">
        <v>111</v>
      </c>
      <c r="C4" s="13" t="s">
        <v>112</v>
      </c>
      <c r="D4" s="13" t="s">
        <v>115</v>
      </c>
      <c r="E4" s="14" t="s">
        <v>147</v>
      </c>
      <c r="F4" s="15"/>
      <c r="G4" s="15"/>
      <c r="H4" s="15"/>
      <c r="I4" s="15"/>
      <c r="J4" s="15"/>
      <c r="K4" s="15"/>
      <c r="L4" s="15"/>
      <c r="M4" s="15"/>
      <c r="N4" s="15"/>
      <c r="O4" s="15"/>
      <c r="P4" s="15"/>
      <c r="Q4" s="15"/>
      <c r="R4" s="15"/>
      <c r="S4" s="15"/>
      <c r="T4" s="15"/>
      <c r="U4" s="15"/>
      <c r="V4" s="15"/>
      <c r="W4" s="15"/>
      <c r="X4" s="15"/>
      <c r="Y4" s="15"/>
      <c r="Z4" s="15"/>
    </row>
    <row r="5" spans="1:26" ht="18.95" customHeight="1" x14ac:dyDescent="0.3">
      <c r="A5" s="9">
        <v>4</v>
      </c>
      <c r="B5" s="9" t="s">
        <v>111</v>
      </c>
      <c r="C5" s="9" t="s">
        <v>112</v>
      </c>
      <c r="D5" s="9" t="s">
        <v>145</v>
      </c>
      <c r="E5" s="6" t="s">
        <v>148</v>
      </c>
      <c r="F5" s="10" t="s">
        <v>276</v>
      </c>
      <c r="G5" s="10"/>
      <c r="H5" s="10"/>
      <c r="I5" s="10"/>
      <c r="J5" s="10"/>
      <c r="K5" s="10"/>
      <c r="L5" s="10"/>
      <c r="M5" s="10"/>
      <c r="N5" s="10"/>
      <c r="O5" s="10"/>
      <c r="P5" s="10"/>
      <c r="Q5" s="10"/>
      <c r="R5" s="10"/>
      <c r="S5" s="10"/>
      <c r="T5" s="10"/>
      <c r="U5" s="10"/>
      <c r="V5" s="10"/>
      <c r="W5" s="10" t="s">
        <v>74</v>
      </c>
      <c r="X5" s="10" t="s">
        <v>278</v>
      </c>
      <c r="Y5" s="11"/>
      <c r="Z5" s="12" t="str">
        <f>IF(AND(W5="",X5=""),"단계·확신 비어 있음",IF(W5="","단계 비어 있음",IF(X5="","확신 비어 있음","")))</f>
        <v/>
      </c>
    </row>
    <row r="6" spans="1:26" ht="18.95" customHeight="1" x14ac:dyDescent="0.3">
      <c r="A6" s="13">
        <v>5</v>
      </c>
      <c r="B6" s="13" t="s">
        <v>149</v>
      </c>
      <c r="C6" s="13" t="s">
        <v>112</v>
      </c>
      <c r="D6" s="13" t="s">
        <v>115</v>
      </c>
      <c r="E6" s="14" t="s">
        <v>150</v>
      </c>
      <c r="F6" s="15"/>
      <c r="G6" s="15"/>
      <c r="H6" s="15"/>
      <c r="I6" s="15"/>
      <c r="J6" s="15"/>
      <c r="K6" s="15"/>
      <c r="L6" s="15"/>
      <c r="M6" s="15"/>
      <c r="N6" s="15"/>
      <c r="O6" s="15"/>
      <c r="P6" s="15"/>
      <c r="Q6" s="15"/>
      <c r="R6" s="15"/>
      <c r="S6" s="15"/>
      <c r="T6" s="15"/>
      <c r="U6" s="15"/>
      <c r="V6" s="15"/>
      <c r="W6" s="15"/>
      <c r="X6" s="15"/>
      <c r="Y6" s="15"/>
      <c r="Z6" s="15"/>
    </row>
    <row r="7" spans="1:26" ht="33.950000000000003" customHeight="1" x14ac:dyDescent="0.3">
      <c r="A7" s="9">
        <v>6</v>
      </c>
      <c r="B7" s="9" t="s">
        <v>151</v>
      </c>
      <c r="C7" s="9" t="s">
        <v>112</v>
      </c>
      <c r="D7" s="9" t="s">
        <v>145</v>
      </c>
      <c r="E7" s="6" t="s">
        <v>152</v>
      </c>
      <c r="F7" s="10" t="s">
        <v>276</v>
      </c>
      <c r="G7" s="10"/>
      <c r="H7" s="10"/>
      <c r="I7" s="10"/>
      <c r="J7" s="10"/>
      <c r="K7" s="10"/>
      <c r="L7" s="10"/>
      <c r="M7" s="10"/>
      <c r="N7" s="10"/>
      <c r="O7" s="10"/>
      <c r="P7" s="10"/>
      <c r="Q7" s="10"/>
      <c r="R7" s="10"/>
      <c r="S7" s="10"/>
      <c r="T7" s="10"/>
      <c r="U7" s="10"/>
      <c r="V7" s="10"/>
      <c r="W7" s="10" t="s">
        <v>74</v>
      </c>
      <c r="X7" s="10" t="s">
        <v>278</v>
      </c>
      <c r="Y7" s="11"/>
      <c r="Z7" s="12" t="str">
        <f>IF(AND(W7="",X7=""),"단계·확신 비어 있음",IF(W7="","단계 비어 있음",IF(X7="","확신 비어 있음","")))</f>
        <v/>
      </c>
    </row>
    <row r="8" spans="1:26" ht="18.95" customHeight="1" x14ac:dyDescent="0.3">
      <c r="A8" s="13">
        <v>7</v>
      </c>
      <c r="B8" s="13" t="s">
        <v>153</v>
      </c>
      <c r="C8" s="13" t="s">
        <v>112</v>
      </c>
      <c r="D8" s="13" t="s">
        <v>115</v>
      </c>
      <c r="E8" s="14" t="s">
        <v>154</v>
      </c>
      <c r="F8" s="15"/>
      <c r="G8" s="15"/>
      <c r="H8" s="15"/>
      <c r="I8" s="15"/>
      <c r="J8" s="15"/>
      <c r="K8" s="15"/>
      <c r="L8" s="15"/>
      <c r="M8" s="15"/>
      <c r="N8" s="15"/>
      <c r="O8" s="15"/>
      <c r="P8" s="15"/>
      <c r="Q8" s="15"/>
      <c r="R8" s="15"/>
      <c r="S8" s="15"/>
      <c r="T8" s="15"/>
      <c r="U8" s="15"/>
      <c r="V8" s="15"/>
      <c r="W8" s="15"/>
      <c r="X8" s="15"/>
      <c r="Y8" s="15"/>
      <c r="Z8" s="15"/>
    </row>
    <row r="9" spans="1:26" ht="33.950000000000003" customHeight="1" x14ac:dyDescent="0.3">
      <c r="A9" s="9">
        <v>8</v>
      </c>
      <c r="B9" s="9" t="s">
        <v>155</v>
      </c>
      <c r="C9" s="9" t="s">
        <v>112</v>
      </c>
      <c r="D9" s="9" t="s">
        <v>145</v>
      </c>
      <c r="E9" s="6" t="s">
        <v>156</v>
      </c>
      <c r="F9" s="10"/>
      <c r="G9" s="10"/>
      <c r="H9" s="10"/>
      <c r="I9" s="10"/>
      <c r="J9" s="10"/>
      <c r="K9" s="10"/>
      <c r="L9" s="10"/>
      <c r="M9" s="10"/>
      <c r="N9" s="10"/>
      <c r="O9" s="10" t="s">
        <v>276</v>
      </c>
      <c r="P9" s="10"/>
      <c r="Q9" s="10"/>
      <c r="R9" s="10"/>
      <c r="S9" s="10"/>
      <c r="T9" s="10"/>
      <c r="U9" s="10"/>
      <c r="V9" s="10"/>
      <c r="W9" s="10" t="s">
        <v>76</v>
      </c>
      <c r="X9" s="10" t="s">
        <v>278</v>
      </c>
      <c r="Y9" s="11"/>
      <c r="Z9" s="12" t="str">
        <f>IF(AND(W9="",X9=""),"단계·확신 비어 있음",IF(W9="","단계 비어 있음",IF(X9="","확신 비어 있음","")))</f>
        <v/>
      </c>
    </row>
    <row r="10" spans="1:26" ht="18.95" customHeight="1" x14ac:dyDescent="0.3">
      <c r="A10" s="13">
        <v>9</v>
      </c>
      <c r="B10" s="13" t="s">
        <v>155</v>
      </c>
      <c r="C10" s="13" t="s">
        <v>112</v>
      </c>
      <c r="D10" s="13" t="s">
        <v>115</v>
      </c>
      <c r="E10" s="14" t="s">
        <v>157</v>
      </c>
      <c r="F10" s="15"/>
      <c r="G10" s="15"/>
      <c r="H10" s="15"/>
      <c r="I10" s="15"/>
      <c r="J10" s="15"/>
      <c r="K10" s="15"/>
      <c r="L10" s="15"/>
      <c r="M10" s="15"/>
      <c r="N10" s="15"/>
      <c r="O10" s="15"/>
      <c r="P10" s="15"/>
      <c r="Q10" s="15"/>
      <c r="R10" s="15"/>
      <c r="S10" s="15"/>
      <c r="T10" s="15"/>
      <c r="U10" s="15"/>
      <c r="V10" s="15"/>
      <c r="W10" s="15"/>
      <c r="X10" s="15"/>
      <c r="Y10" s="15"/>
      <c r="Z10" s="15"/>
    </row>
    <row r="11" spans="1:26" ht="18.95" customHeight="1" x14ac:dyDescent="0.3">
      <c r="A11" s="9">
        <v>10</v>
      </c>
      <c r="B11" s="9" t="s">
        <v>155</v>
      </c>
      <c r="C11" s="9" t="s">
        <v>112</v>
      </c>
      <c r="D11" s="9" t="s">
        <v>145</v>
      </c>
      <c r="E11" s="6" t="s">
        <v>158</v>
      </c>
      <c r="F11" s="10"/>
      <c r="G11" s="10"/>
      <c r="H11" s="10"/>
      <c r="I11" s="10"/>
      <c r="J11" s="10"/>
      <c r="K11" s="10"/>
      <c r="L11" s="10"/>
      <c r="M11" s="10"/>
      <c r="N11" s="10"/>
      <c r="O11" s="10"/>
      <c r="P11" s="10"/>
      <c r="Q11" s="10"/>
      <c r="R11" s="10"/>
      <c r="S11" s="10"/>
      <c r="T11" s="10"/>
      <c r="U11" s="10"/>
      <c r="V11" s="10" t="s">
        <v>276</v>
      </c>
      <c r="W11" s="10" t="s">
        <v>78</v>
      </c>
      <c r="X11" s="10" t="s">
        <v>278</v>
      </c>
      <c r="Y11" s="11"/>
      <c r="Z11" s="12" t="str">
        <f>IF(AND(W11="",X11=""),"단계·확신 비어 있음",IF(W11="","단계 비어 있음",IF(X11="","확신 비어 있음","")))</f>
        <v/>
      </c>
    </row>
    <row r="12" spans="1:26" ht="18.95" customHeight="1" x14ac:dyDescent="0.3">
      <c r="A12" s="13">
        <v>11</v>
      </c>
      <c r="B12" s="13" t="s">
        <v>159</v>
      </c>
      <c r="C12" s="13" t="s">
        <v>112</v>
      </c>
      <c r="D12" s="13" t="s">
        <v>115</v>
      </c>
      <c r="E12" s="14" t="s">
        <v>160</v>
      </c>
      <c r="F12" s="15"/>
      <c r="G12" s="15"/>
      <c r="H12" s="15"/>
      <c r="I12" s="15"/>
      <c r="J12" s="15"/>
      <c r="K12" s="15"/>
      <c r="L12" s="15"/>
      <c r="M12" s="15"/>
      <c r="N12" s="15"/>
      <c r="O12" s="15"/>
      <c r="P12" s="15"/>
      <c r="Q12" s="15"/>
      <c r="R12" s="15"/>
      <c r="S12" s="15"/>
      <c r="T12" s="15"/>
      <c r="U12" s="15"/>
      <c r="V12" s="15"/>
      <c r="W12" s="15"/>
      <c r="X12" s="15"/>
      <c r="Y12" s="15"/>
      <c r="Z12" s="15"/>
    </row>
    <row r="13" spans="1:26" ht="18.95" customHeight="1" x14ac:dyDescent="0.3">
      <c r="A13" s="13">
        <v>12</v>
      </c>
      <c r="B13" s="13" t="s">
        <v>131</v>
      </c>
      <c r="C13" s="13" t="s">
        <v>112</v>
      </c>
      <c r="D13" s="13" t="s">
        <v>115</v>
      </c>
      <c r="E13" s="14" t="s">
        <v>161</v>
      </c>
      <c r="F13" s="15"/>
      <c r="G13" s="15"/>
      <c r="H13" s="15"/>
      <c r="I13" s="15"/>
      <c r="J13" s="15"/>
      <c r="K13" s="15"/>
      <c r="L13" s="15"/>
      <c r="M13" s="15"/>
      <c r="N13" s="15"/>
      <c r="O13" s="15"/>
      <c r="P13" s="15"/>
      <c r="Q13" s="15"/>
      <c r="R13" s="15"/>
      <c r="S13" s="15"/>
      <c r="T13" s="15"/>
      <c r="U13" s="15"/>
      <c r="V13" s="15"/>
      <c r="W13" s="15"/>
      <c r="X13" s="15"/>
      <c r="Y13" s="15"/>
      <c r="Z13" s="15"/>
    </row>
    <row r="14" spans="1:26" ht="18.95" customHeight="1" x14ac:dyDescent="0.3">
      <c r="A14" s="9">
        <v>13</v>
      </c>
      <c r="B14" s="9" t="s">
        <v>131</v>
      </c>
      <c r="C14" s="9" t="s">
        <v>112</v>
      </c>
      <c r="D14" s="9" t="s">
        <v>145</v>
      </c>
      <c r="E14" s="6" t="s">
        <v>162</v>
      </c>
      <c r="F14" s="10"/>
      <c r="G14" s="10"/>
      <c r="H14" s="10"/>
      <c r="I14" s="10"/>
      <c r="J14" s="10"/>
      <c r="K14" s="10"/>
      <c r="L14" s="10"/>
      <c r="M14" s="10"/>
      <c r="N14" s="10"/>
      <c r="O14" s="10"/>
      <c r="P14" s="10"/>
      <c r="Q14" s="10"/>
      <c r="R14" s="10"/>
      <c r="S14" s="10"/>
      <c r="T14" s="10"/>
      <c r="U14" s="10"/>
      <c r="V14" s="10"/>
      <c r="W14" s="10" t="s">
        <v>82</v>
      </c>
      <c r="X14" s="10" t="s">
        <v>278</v>
      </c>
      <c r="Y14" s="11"/>
      <c r="Z14" s="12" t="str">
        <f>IF(AND(W14="",X14=""),"단계·확신 비어 있음",IF(W14="","단계 비어 있음",IF(X14="","확신 비어 있음","")))</f>
        <v/>
      </c>
    </row>
  </sheetData>
  <sheetProtection sheet="1" formatColumns="0" formatRows="0"/>
  <phoneticPr fontId="6" type="noConversion"/>
  <conditionalFormatting sqref="F2:V14">
    <cfRule type="expression" dxfId="3" priority="1">
      <formula>F2="●"</formula>
    </cfRule>
  </conditionalFormatting>
  <dataValidations count="3">
    <dataValidation type="list" allowBlank="1" errorTitle="고르기만 가능" error="드롭다운에서 ●를 고르거나 Delete로 지우세요." sqref="F3 F5 F7 F9 F11 F14 G3 G5 G7 G9 G11 G14 H3 H5 H7 H9 H11 H14 I3 I5 I7 I9 I11 I14 J3 J5 J7 J9 J11 J14 K3 K5 K7 K9 K11 K14 L3 L5 L7 L9 L11 L14 M3 M5 M7 M9 M11 M14 N3 N5 N7 N9 N11 N14 O3 O5 O7 O9 O11 O14 P3 P5 P7 P9 P11 P14 Q3 Q5 Q7 Q9 Q11 Q14 R3 R5 R7 R9 R11 R14 S3 S5 S7 S9 S11 S14 T3 T5 T7 T9 T11 T14 U3 U5 U7 U9 U11 U14 V3 V5 V7 V9 V11 V14" xr:uid="{00000000-0002-0000-0300-000000000000}">
      <formula1>"●"</formula1>
    </dataValidation>
    <dataValidation type="list" allowBlank="1" errorTitle="단계" error="드롭다운에서 단계를 고르세요." sqref="W3 W5 W7 W9 W11 W14" xr:uid="{00000000-0002-0000-0300-000001000000}">
      <formula1>"접근,신뢰,유도,요구,추가요구,분류불가"</formula1>
    </dataValidation>
    <dataValidation type="list" allowBlank="1" errorTitle="확신" error="높음 또는 낮음을 고르세요." sqref="X3 X5 X7 X9 X11 X14" xr:uid="{00000000-0002-0000-0300-000002000000}">
      <formula1>"높음,낮음"</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3"/>
  <sheetViews>
    <sheetView workbookViewId="0">
      <pane xSplit="5" ySplit="1" topLeftCell="F8" activePane="bottomRight" state="frozen"/>
      <selection pane="topRight"/>
      <selection pane="bottomLeft"/>
      <selection pane="bottomRight" activeCell="X23" sqref="X23"/>
    </sheetView>
  </sheetViews>
  <sheetFormatPr defaultRowHeight="16.5" x14ac:dyDescent="0.3"/>
  <cols>
    <col min="1" max="1" width="5" customWidth="1"/>
    <col min="2" max="2" width="6" customWidth="1"/>
    <col min="3" max="3" width="11" customWidth="1"/>
    <col min="4" max="4" width="12" customWidth="1"/>
    <col min="5" max="5" width="58" customWidth="1"/>
    <col min="6" max="22" width="7" customWidth="1"/>
    <col min="23" max="23" width="10" customWidth="1"/>
    <col min="24" max="24" width="7" customWidth="1"/>
    <col min="25" max="25" width="30" customWidth="1"/>
    <col min="26" max="26" width="14" customWidth="1"/>
  </cols>
  <sheetData>
    <row r="1" spans="1:26" ht="45.95" customHeight="1" x14ac:dyDescent="0.3">
      <c r="A1" s="8" t="s">
        <v>85</v>
      </c>
      <c r="B1" s="8" t="s">
        <v>86</v>
      </c>
      <c r="C1" s="8" t="s">
        <v>87</v>
      </c>
      <c r="D1" s="8" t="s">
        <v>88</v>
      </c>
      <c r="E1" s="8" t="s">
        <v>89</v>
      </c>
      <c r="F1" s="8" t="s">
        <v>90</v>
      </c>
      <c r="G1" s="8" t="s">
        <v>91</v>
      </c>
      <c r="H1" s="8" t="s">
        <v>92</v>
      </c>
      <c r="I1" s="8" t="s">
        <v>93</v>
      </c>
      <c r="J1" s="8" t="s">
        <v>94</v>
      </c>
      <c r="K1" s="8" t="s">
        <v>95</v>
      </c>
      <c r="L1" s="8" t="s">
        <v>96</v>
      </c>
      <c r="M1" s="8" t="s">
        <v>97</v>
      </c>
      <c r="N1" s="8" t="s">
        <v>98</v>
      </c>
      <c r="O1" s="8" t="s">
        <v>99</v>
      </c>
      <c r="P1" s="8" t="s">
        <v>100</v>
      </c>
      <c r="Q1" s="8" t="s">
        <v>101</v>
      </c>
      <c r="R1" s="8" t="s">
        <v>102</v>
      </c>
      <c r="S1" s="8" t="s">
        <v>103</v>
      </c>
      <c r="T1" s="8" t="s">
        <v>104</v>
      </c>
      <c r="U1" s="8" t="s">
        <v>105</v>
      </c>
      <c r="V1" s="8" t="s">
        <v>106</v>
      </c>
      <c r="W1" s="8" t="s">
        <v>107</v>
      </c>
      <c r="X1" s="8" t="s">
        <v>108</v>
      </c>
      <c r="Y1" s="8" t="s">
        <v>109</v>
      </c>
      <c r="Z1" s="8" t="s">
        <v>110</v>
      </c>
    </row>
    <row r="2" spans="1:26" ht="18.95" customHeight="1" x14ac:dyDescent="0.3">
      <c r="A2" s="13">
        <v>1</v>
      </c>
      <c r="B2" s="13" t="s">
        <v>111</v>
      </c>
      <c r="C2" s="13" t="s">
        <v>112</v>
      </c>
      <c r="D2" s="13" t="s">
        <v>115</v>
      </c>
      <c r="E2" s="14" t="s">
        <v>163</v>
      </c>
      <c r="F2" s="15"/>
      <c r="G2" s="15"/>
      <c r="H2" s="15"/>
      <c r="I2" s="15"/>
      <c r="J2" s="15"/>
      <c r="K2" s="15"/>
      <c r="L2" s="15"/>
      <c r="M2" s="15"/>
      <c r="N2" s="15"/>
      <c r="O2" s="15"/>
      <c r="P2" s="15"/>
      <c r="Q2" s="15"/>
      <c r="R2" s="15"/>
      <c r="S2" s="15"/>
      <c r="T2" s="15"/>
      <c r="U2" s="15"/>
      <c r="V2" s="15"/>
      <c r="W2" s="15"/>
      <c r="X2" s="15"/>
      <c r="Y2" s="15"/>
      <c r="Z2" s="15"/>
    </row>
    <row r="3" spans="1:26" ht="48.95" customHeight="1" x14ac:dyDescent="0.3">
      <c r="A3" s="9">
        <v>2</v>
      </c>
      <c r="B3" s="9" t="s">
        <v>111</v>
      </c>
      <c r="C3" s="9" t="s">
        <v>112</v>
      </c>
      <c r="D3" s="9" t="s">
        <v>164</v>
      </c>
      <c r="E3" s="6" t="s">
        <v>165</v>
      </c>
      <c r="F3" s="10"/>
      <c r="G3" s="10"/>
      <c r="H3" s="10"/>
      <c r="I3" s="10"/>
      <c r="J3" s="10"/>
      <c r="K3" s="10"/>
      <c r="L3" s="10"/>
      <c r="M3" s="10"/>
      <c r="N3" s="10" t="s">
        <v>276</v>
      </c>
      <c r="O3" s="10"/>
      <c r="P3" s="10"/>
      <c r="Q3" s="10"/>
      <c r="R3" s="10"/>
      <c r="S3" s="10"/>
      <c r="T3" s="10"/>
      <c r="U3" s="10"/>
      <c r="V3" s="10"/>
      <c r="W3" s="10" t="s">
        <v>72</v>
      </c>
      <c r="X3" s="10" t="s">
        <v>278</v>
      </c>
      <c r="Y3" s="11"/>
      <c r="Z3" s="12" t="str">
        <f>IF(AND(W3="",X3=""),"단계·확신 비어 있음",IF(W3="","단계 비어 있음",IF(X3="","확신 비어 있음","")))</f>
        <v/>
      </c>
    </row>
    <row r="4" spans="1:26" ht="33.950000000000003" customHeight="1" x14ac:dyDescent="0.3">
      <c r="A4" s="9">
        <v>3</v>
      </c>
      <c r="B4" s="9" t="s">
        <v>111</v>
      </c>
      <c r="C4" s="9" t="s">
        <v>112</v>
      </c>
      <c r="D4" s="9" t="s">
        <v>164</v>
      </c>
      <c r="E4" s="6" t="s">
        <v>166</v>
      </c>
      <c r="F4" s="10"/>
      <c r="G4" s="10"/>
      <c r="H4" s="10"/>
      <c r="I4" s="10"/>
      <c r="J4" s="10"/>
      <c r="K4" s="10"/>
      <c r="L4" s="10"/>
      <c r="M4" s="10"/>
      <c r="N4" s="10"/>
      <c r="O4" s="10"/>
      <c r="P4" s="10"/>
      <c r="Q4" s="10"/>
      <c r="R4" s="10"/>
      <c r="S4" s="10"/>
      <c r="T4" s="10"/>
      <c r="U4" s="10"/>
      <c r="V4" s="10"/>
      <c r="W4" s="10" t="s">
        <v>82</v>
      </c>
      <c r="X4" s="10" t="s">
        <v>278</v>
      </c>
      <c r="Y4" s="11"/>
      <c r="Z4" s="12" t="str">
        <f>IF(AND(W4="",X4=""),"단계·확신 비어 있음",IF(W4="","단계 비어 있음",IF(X4="","확신 비어 있음","")))</f>
        <v/>
      </c>
    </row>
    <row r="5" spans="1:26" ht="18.95" customHeight="1" x14ac:dyDescent="0.3">
      <c r="A5" s="9">
        <v>4</v>
      </c>
      <c r="B5" s="9" t="s">
        <v>111</v>
      </c>
      <c r="C5" s="9" t="s">
        <v>112</v>
      </c>
      <c r="D5" s="9" t="s">
        <v>164</v>
      </c>
      <c r="E5" s="6" t="s">
        <v>167</v>
      </c>
      <c r="F5" s="10"/>
      <c r="G5" s="10"/>
      <c r="H5" s="10"/>
      <c r="I5" s="10"/>
      <c r="J5" s="10"/>
      <c r="K5" s="10"/>
      <c r="L5" s="10"/>
      <c r="M5" s="10"/>
      <c r="N5" s="10"/>
      <c r="O5" s="10"/>
      <c r="P5" s="10"/>
      <c r="Q5" s="10"/>
      <c r="R5" s="10"/>
      <c r="S5" s="10"/>
      <c r="T5" s="10"/>
      <c r="U5" s="10"/>
      <c r="V5" s="10"/>
      <c r="W5" s="10" t="s">
        <v>76</v>
      </c>
      <c r="X5" s="10" t="s">
        <v>278</v>
      </c>
      <c r="Y5" s="11"/>
      <c r="Z5" s="12" t="str">
        <f>IF(AND(W5="",X5=""),"단계·확신 비어 있음",IF(W5="","단계 비어 있음",IF(X5="","확신 비어 있음","")))</f>
        <v/>
      </c>
    </row>
    <row r="6" spans="1:26" ht="18.95" customHeight="1" x14ac:dyDescent="0.3">
      <c r="A6" s="13">
        <v>5</v>
      </c>
      <c r="B6" s="13" t="s">
        <v>111</v>
      </c>
      <c r="C6" s="13" t="s">
        <v>112</v>
      </c>
      <c r="D6" s="13" t="s">
        <v>115</v>
      </c>
      <c r="E6" s="14" t="s">
        <v>168</v>
      </c>
      <c r="F6" s="15"/>
      <c r="G6" s="15"/>
      <c r="H6" s="15"/>
      <c r="I6" s="15"/>
      <c r="J6" s="15"/>
      <c r="K6" s="15"/>
      <c r="L6" s="15"/>
      <c r="M6" s="15"/>
      <c r="N6" s="15"/>
      <c r="O6" s="15"/>
      <c r="P6" s="15"/>
      <c r="Q6" s="15"/>
      <c r="R6" s="15"/>
      <c r="S6" s="15"/>
      <c r="T6" s="15"/>
      <c r="U6" s="15"/>
      <c r="V6" s="15"/>
      <c r="W6" s="15"/>
      <c r="X6" s="15"/>
      <c r="Y6" s="15"/>
      <c r="Z6" s="15"/>
    </row>
    <row r="7" spans="1:26" ht="18.95" customHeight="1" x14ac:dyDescent="0.3">
      <c r="A7" s="9">
        <v>6</v>
      </c>
      <c r="B7" s="9" t="s">
        <v>111</v>
      </c>
      <c r="C7" s="9" t="s">
        <v>112</v>
      </c>
      <c r="D7" s="9" t="s">
        <v>164</v>
      </c>
      <c r="E7" s="6" t="s">
        <v>169</v>
      </c>
      <c r="F7" s="10"/>
      <c r="G7" s="10" t="s">
        <v>276</v>
      </c>
      <c r="H7" s="10"/>
      <c r="I7" s="10"/>
      <c r="J7" s="10"/>
      <c r="K7" s="10"/>
      <c r="L7" s="10"/>
      <c r="M7" s="10"/>
      <c r="N7" s="10"/>
      <c r="O7" s="10"/>
      <c r="P7" s="10"/>
      <c r="Q7" s="10"/>
      <c r="R7" s="10"/>
      <c r="S7" s="10"/>
      <c r="T7" s="10"/>
      <c r="U7" s="10"/>
      <c r="V7" s="10"/>
      <c r="W7" s="10" t="s">
        <v>82</v>
      </c>
      <c r="X7" s="10" t="s">
        <v>278</v>
      </c>
      <c r="Y7" s="11"/>
      <c r="Z7" s="12" t="str">
        <f>IF(AND(W7="",X7=""),"단계·확신 비어 있음",IF(W7="","단계 비어 있음",IF(X7="","확신 비어 있음","")))</f>
        <v/>
      </c>
    </row>
    <row r="8" spans="1:26" ht="18.95" customHeight="1" x14ac:dyDescent="0.3">
      <c r="A8" s="9">
        <v>7</v>
      </c>
      <c r="B8" s="9" t="s">
        <v>111</v>
      </c>
      <c r="C8" s="9" t="s">
        <v>112</v>
      </c>
      <c r="D8" s="9" t="s">
        <v>164</v>
      </c>
      <c r="E8" s="6" t="s">
        <v>170</v>
      </c>
      <c r="F8" s="10"/>
      <c r="G8" s="10"/>
      <c r="H8" s="10" t="s">
        <v>276</v>
      </c>
      <c r="I8" s="10"/>
      <c r="J8" s="10"/>
      <c r="K8" s="10"/>
      <c r="L8" s="10"/>
      <c r="M8" s="10"/>
      <c r="N8" s="10"/>
      <c r="O8" s="10"/>
      <c r="P8" s="10"/>
      <c r="Q8" s="10"/>
      <c r="R8" s="10"/>
      <c r="S8" s="10"/>
      <c r="T8" s="10"/>
      <c r="U8" s="10"/>
      <c r="V8" s="10"/>
      <c r="W8" s="10" t="s">
        <v>76</v>
      </c>
      <c r="X8" s="10" t="s">
        <v>278</v>
      </c>
      <c r="Y8" s="11"/>
      <c r="Z8" s="12" t="str">
        <f>IF(AND(W8="",X8=""),"단계·확신 비어 있음",IF(W8="","단계 비어 있음",IF(X8="","확신 비어 있음","")))</f>
        <v/>
      </c>
    </row>
    <row r="9" spans="1:26" ht="18.95" customHeight="1" x14ac:dyDescent="0.3">
      <c r="A9" s="9">
        <v>8</v>
      </c>
      <c r="B9" s="9" t="s">
        <v>111</v>
      </c>
      <c r="C9" s="9" t="s">
        <v>171</v>
      </c>
      <c r="D9" s="9" t="s">
        <v>172</v>
      </c>
      <c r="E9" s="6" t="s">
        <v>173</v>
      </c>
      <c r="F9" s="10"/>
      <c r="G9" s="10"/>
      <c r="H9" s="10"/>
      <c r="I9" s="10"/>
      <c r="J9" s="10"/>
      <c r="K9" s="10"/>
      <c r="L9" s="10"/>
      <c r="M9" s="10"/>
      <c r="N9" s="10"/>
      <c r="O9" s="10"/>
      <c r="P9" s="10"/>
      <c r="Q9" s="10"/>
      <c r="R9" s="10"/>
      <c r="S9" s="10"/>
      <c r="T9" s="10"/>
      <c r="U9" s="10"/>
      <c r="V9" s="10"/>
      <c r="W9" s="10" t="s">
        <v>78</v>
      </c>
      <c r="X9" s="10" t="s">
        <v>278</v>
      </c>
      <c r="Y9" s="11"/>
      <c r="Z9" s="12" t="str">
        <f>IF(AND(W9="",X9=""),"단계·확신 비어 있음",IF(W9="","단계 비어 있음",IF(X9="","확신 비어 있음","")))</f>
        <v/>
      </c>
    </row>
    <row r="10" spans="1:26" ht="18.95" customHeight="1" x14ac:dyDescent="0.3">
      <c r="A10" s="13">
        <v>9</v>
      </c>
      <c r="B10" s="13" t="s">
        <v>111</v>
      </c>
      <c r="C10" s="13" t="s">
        <v>171</v>
      </c>
      <c r="D10" s="13" t="s">
        <v>115</v>
      </c>
      <c r="E10" s="14" t="s">
        <v>174</v>
      </c>
      <c r="F10" s="15"/>
      <c r="G10" s="15"/>
      <c r="H10" s="15"/>
      <c r="I10" s="15"/>
      <c r="J10" s="15"/>
      <c r="K10" s="15"/>
      <c r="L10" s="15"/>
      <c r="M10" s="15"/>
      <c r="N10" s="15"/>
      <c r="O10" s="15"/>
      <c r="P10" s="15"/>
      <c r="Q10" s="15"/>
      <c r="R10" s="15"/>
      <c r="S10" s="15"/>
      <c r="T10" s="15"/>
      <c r="U10" s="15"/>
      <c r="V10" s="15"/>
      <c r="W10" s="15"/>
      <c r="X10" s="15"/>
      <c r="Y10" s="15"/>
      <c r="Z10" s="15"/>
    </row>
    <row r="11" spans="1:26" ht="18.95" customHeight="1" x14ac:dyDescent="0.3">
      <c r="A11" s="9">
        <v>10</v>
      </c>
      <c r="B11" s="9" t="s">
        <v>111</v>
      </c>
      <c r="C11" s="9" t="s">
        <v>171</v>
      </c>
      <c r="D11" s="9" t="s">
        <v>172</v>
      </c>
      <c r="E11" s="6" t="s">
        <v>175</v>
      </c>
      <c r="F11" s="10"/>
      <c r="G11" s="10"/>
      <c r="H11" s="10"/>
      <c r="I11" s="10"/>
      <c r="J11" s="10"/>
      <c r="K11" s="10"/>
      <c r="L11" s="10"/>
      <c r="M11" s="10"/>
      <c r="N11" s="10"/>
      <c r="O11" s="10"/>
      <c r="P11" s="10"/>
      <c r="Q11" s="10"/>
      <c r="R11" s="10"/>
      <c r="S11" s="10" t="s">
        <v>276</v>
      </c>
      <c r="T11" s="10"/>
      <c r="U11" s="10"/>
      <c r="V11" s="10"/>
      <c r="W11" s="10" t="s">
        <v>74</v>
      </c>
      <c r="X11" s="10" t="s">
        <v>278</v>
      </c>
      <c r="Y11" s="11"/>
      <c r="Z11" s="12" t="str">
        <f t="shared" ref="Z11:Z18" si="0">IF(AND(W11="",X11=""),"단계·확신 비어 있음",IF(W11="","단계 비어 있음",IF(X11="","확신 비어 있음","")))</f>
        <v/>
      </c>
    </row>
    <row r="12" spans="1:26" ht="48.95" customHeight="1" x14ac:dyDescent="0.3">
      <c r="A12" s="9">
        <v>11</v>
      </c>
      <c r="B12" s="9" t="s">
        <v>111</v>
      </c>
      <c r="C12" s="9" t="s">
        <v>171</v>
      </c>
      <c r="D12" s="9" t="s">
        <v>172</v>
      </c>
      <c r="E12" s="6" t="s">
        <v>176</v>
      </c>
      <c r="F12" s="10"/>
      <c r="G12" s="10"/>
      <c r="H12" s="10"/>
      <c r="I12" s="10"/>
      <c r="J12" s="10"/>
      <c r="K12" s="10"/>
      <c r="L12" s="10"/>
      <c r="M12" s="10"/>
      <c r="N12" s="10"/>
      <c r="O12" s="10" t="s">
        <v>276</v>
      </c>
      <c r="P12" s="10"/>
      <c r="Q12" s="10"/>
      <c r="R12" s="10"/>
      <c r="S12" s="10"/>
      <c r="T12" s="10"/>
      <c r="U12" s="10"/>
      <c r="V12" s="10"/>
      <c r="W12" s="10" t="s">
        <v>76</v>
      </c>
      <c r="X12" s="10" t="s">
        <v>278</v>
      </c>
      <c r="Y12" s="11"/>
      <c r="Z12" s="12" t="str">
        <f t="shared" si="0"/>
        <v/>
      </c>
    </row>
    <row r="13" spans="1:26" ht="33.950000000000003" customHeight="1" x14ac:dyDescent="0.3">
      <c r="A13" s="9">
        <v>12</v>
      </c>
      <c r="B13" s="9" t="s">
        <v>111</v>
      </c>
      <c r="C13" s="9" t="s">
        <v>171</v>
      </c>
      <c r="D13" s="9" t="s">
        <v>172</v>
      </c>
      <c r="E13" s="6" t="s">
        <v>177</v>
      </c>
      <c r="F13" s="10"/>
      <c r="G13" s="10"/>
      <c r="H13" s="10"/>
      <c r="I13" s="10"/>
      <c r="J13" s="10"/>
      <c r="K13" s="10"/>
      <c r="L13" s="10"/>
      <c r="M13" s="10"/>
      <c r="N13" s="10"/>
      <c r="O13" s="10"/>
      <c r="P13" s="10"/>
      <c r="Q13" s="10"/>
      <c r="R13" s="10"/>
      <c r="S13" s="10"/>
      <c r="T13" s="10"/>
      <c r="U13" s="10"/>
      <c r="V13" s="10"/>
      <c r="W13" s="10" t="s">
        <v>76</v>
      </c>
      <c r="X13" s="10" t="s">
        <v>278</v>
      </c>
      <c r="Y13" s="11"/>
      <c r="Z13" s="12" t="str">
        <f t="shared" si="0"/>
        <v/>
      </c>
    </row>
    <row r="14" spans="1:26" ht="18.95" customHeight="1" x14ac:dyDescent="0.3">
      <c r="A14" s="9">
        <v>13</v>
      </c>
      <c r="B14" s="9" t="s">
        <v>111</v>
      </c>
      <c r="C14" s="9" t="s">
        <v>171</v>
      </c>
      <c r="D14" s="9" t="s">
        <v>178</v>
      </c>
      <c r="E14" s="6" t="s">
        <v>179</v>
      </c>
      <c r="F14" s="10" t="s">
        <v>276</v>
      </c>
      <c r="G14" s="10"/>
      <c r="H14" s="10"/>
      <c r="I14" s="10"/>
      <c r="J14" s="10"/>
      <c r="K14" s="10"/>
      <c r="L14" s="10"/>
      <c r="M14" s="10"/>
      <c r="N14" s="10"/>
      <c r="O14" s="10"/>
      <c r="P14" s="10"/>
      <c r="Q14" s="10"/>
      <c r="R14" s="10"/>
      <c r="S14" s="10"/>
      <c r="T14" s="10"/>
      <c r="U14" s="10"/>
      <c r="V14" s="10"/>
      <c r="W14" s="10" t="s">
        <v>74</v>
      </c>
      <c r="X14" s="10" t="s">
        <v>278</v>
      </c>
      <c r="Y14" s="11"/>
      <c r="Z14" s="12" t="str">
        <f t="shared" si="0"/>
        <v/>
      </c>
    </row>
    <row r="15" spans="1:26" ht="18.95" customHeight="1" x14ac:dyDescent="0.3">
      <c r="A15" s="9">
        <v>14</v>
      </c>
      <c r="B15" s="9" t="s">
        <v>111</v>
      </c>
      <c r="C15" s="9" t="s">
        <v>171</v>
      </c>
      <c r="D15" s="9" t="s">
        <v>180</v>
      </c>
      <c r="E15" s="6" t="s">
        <v>181</v>
      </c>
      <c r="F15" s="10" t="s">
        <v>276</v>
      </c>
      <c r="G15" s="10"/>
      <c r="H15" s="10"/>
      <c r="I15" s="10"/>
      <c r="J15" s="10"/>
      <c r="K15" s="10"/>
      <c r="L15" s="10"/>
      <c r="M15" s="10"/>
      <c r="N15" s="10"/>
      <c r="O15" s="10"/>
      <c r="P15" s="10"/>
      <c r="Q15" s="10"/>
      <c r="R15" s="10"/>
      <c r="S15" s="10"/>
      <c r="T15" s="10"/>
      <c r="U15" s="10"/>
      <c r="V15" s="10"/>
      <c r="W15" s="10" t="s">
        <v>74</v>
      </c>
      <c r="X15" s="10" t="s">
        <v>278</v>
      </c>
      <c r="Y15" s="11"/>
      <c r="Z15" s="12" t="str">
        <f t="shared" si="0"/>
        <v/>
      </c>
    </row>
    <row r="16" spans="1:26" ht="18.95" customHeight="1" x14ac:dyDescent="0.3">
      <c r="A16" s="9">
        <v>15</v>
      </c>
      <c r="B16" s="9" t="s">
        <v>111</v>
      </c>
      <c r="C16" s="9" t="s">
        <v>171</v>
      </c>
      <c r="D16" s="9" t="s">
        <v>182</v>
      </c>
      <c r="E16" s="6" t="s">
        <v>183</v>
      </c>
      <c r="F16" s="10" t="s">
        <v>276</v>
      </c>
      <c r="G16" s="10"/>
      <c r="H16" s="10"/>
      <c r="I16" s="10"/>
      <c r="J16" s="10"/>
      <c r="K16" s="10"/>
      <c r="L16" s="10"/>
      <c r="M16" s="10"/>
      <c r="N16" s="10"/>
      <c r="O16" s="10"/>
      <c r="P16" s="10"/>
      <c r="Q16" s="10"/>
      <c r="R16" s="10"/>
      <c r="S16" s="10"/>
      <c r="T16" s="10"/>
      <c r="U16" s="10"/>
      <c r="V16" s="10"/>
      <c r="W16" s="10" t="s">
        <v>74</v>
      </c>
      <c r="X16" s="10" t="s">
        <v>278</v>
      </c>
      <c r="Y16" s="11"/>
      <c r="Z16" s="12" t="str">
        <f t="shared" si="0"/>
        <v/>
      </c>
    </row>
    <row r="17" spans="1:26" ht="33.950000000000003" customHeight="1" x14ac:dyDescent="0.3">
      <c r="A17" s="9">
        <v>16</v>
      </c>
      <c r="B17" s="9" t="s">
        <v>111</v>
      </c>
      <c r="C17" s="9" t="s">
        <v>171</v>
      </c>
      <c r="D17" s="9" t="s">
        <v>172</v>
      </c>
      <c r="E17" s="6" t="s">
        <v>184</v>
      </c>
      <c r="F17" s="10"/>
      <c r="G17" s="10"/>
      <c r="H17" s="10"/>
      <c r="I17" s="10"/>
      <c r="J17" s="10"/>
      <c r="K17" s="10"/>
      <c r="L17" s="10"/>
      <c r="M17" s="10"/>
      <c r="N17" s="10"/>
      <c r="O17" s="10"/>
      <c r="P17" s="10"/>
      <c r="Q17" s="10"/>
      <c r="R17" s="10"/>
      <c r="S17" s="10"/>
      <c r="T17" s="10"/>
      <c r="U17" s="10"/>
      <c r="V17" s="10"/>
      <c r="W17" s="10" t="s">
        <v>74</v>
      </c>
      <c r="X17" s="10" t="s">
        <v>278</v>
      </c>
      <c r="Y17" s="11"/>
      <c r="Z17" s="12" t="str">
        <f t="shared" si="0"/>
        <v/>
      </c>
    </row>
    <row r="18" spans="1:26" ht="33.950000000000003" customHeight="1" x14ac:dyDescent="0.3">
      <c r="A18" s="9">
        <v>17</v>
      </c>
      <c r="B18" s="9" t="s">
        <v>111</v>
      </c>
      <c r="C18" s="9" t="s">
        <v>171</v>
      </c>
      <c r="D18" s="9" t="s">
        <v>172</v>
      </c>
      <c r="E18" s="6" t="s">
        <v>185</v>
      </c>
      <c r="F18" s="10"/>
      <c r="G18" s="10"/>
      <c r="H18" s="10"/>
      <c r="I18" s="10"/>
      <c r="J18" s="10"/>
      <c r="K18" s="10"/>
      <c r="L18" s="10"/>
      <c r="M18" s="10"/>
      <c r="N18" s="10"/>
      <c r="O18" s="10"/>
      <c r="P18" s="10"/>
      <c r="Q18" s="10"/>
      <c r="R18" s="10"/>
      <c r="S18" s="10"/>
      <c r="T18" s="10"/>
      <c r="U18" s="10"/>
      <c r="V18" s="10"/>
      <c r="W18" s="10" t="s">
        <v>74</v>
      </c>
      <c r="X18" s="10" t="s">
        <v>278</v>
      </c>
      <c r="Y18" s="11"/>
      <c r="Z18" s="12" t="str">
        <f t="shared" si="0"/>
        <v/>
      </c>
    </row>
    <row r="19" spans="1:26" ht="18.95" customHeight="1" x14ac:dyDescent="0.3">
      <c r="A19" s="13">
        <v>18</v>
      </c>
      <c r="B19" s="13" t="s">
        <v>111</v>
      </c>
      <c r="C19" s="13" t="s">
        <v>112</v>
      </c>
      <c r="D19" s="13" t="s">
        <v>115</v>
      </c>
      <c r="E19" s="14" t="s">
        <v>186</v>
      </c>
      <c r="F19" s="15"/>
      <c r="G19" s="15"/>
      <c r="H19" s="15"/>
      <c r="I19" s="15"/>
      <c r="J19" s="15"/>
      <c r="K19" s="15"/>
      <c r="L19" s="15"/>
      <c r="M19" s="15"/>
      <c r="N19" s="15"/>
      <c r="O19" s="15"/>
      <c r="P19" s="15"/>
      <c r="Q19" s="15"/>
      <c r="R19" s="15"/>
      <c r="S19" s="15"/>
      <c r="T19" s="15"/>
      <c r="U19" s="15"/>
      <c r="V19" s="15"/>
      <c r="W19" s="15"/>
      <c r="X19" s="15"/>
      <c r="Y19" s="15"/>
      <c r="Z19" s="15"/>
    </row>
    <row r="20" spans="1:26" ht="18.95" customHeight="1" x14ac:dyDescent="0.3">
      <c r="A20" s="9">
        <v>19</v>
      </c>
      <c r="B20" s="9" t="s">
        <v>111</v>
      </c>
      <c r="C20" s="9" t="s">
        <v>112</v>
      </c>
      <c r="D20" s="9" t="s">
        <v>164</v>
      </c>
      <c r="E20" s="6" t="s">
        <v>187</v>
      </c>
      <c r="F20" s="10"/>
      <c r="G20" s="10"/>
      <c r="H20" s="10"/>
      <c r="I20" s="10"/>
      <c r="J20" s="10"/>
      <c r="K20" s="10"/>
      <c r="L20" s="10"/>
      <c r="M20" s="10"/>
      <c r="N20" s="10"/>
      <c r="O20" s="10"/>
      <c r="P20" s="10"/>
      <c r="Q20" s="10"/>
      <c r="R20" s="10"/>
      <c r="S20" s="10"/>
      <c r="T20" s="10"/>
      <c r="U20" s="10"/>
      <c r="V20" s="10"/>
      <c r="W20" s="10" t="s">
        <v>80</v>
      </c>
      <c r="X20" s="10" t="s">
        <v>278</v>
      </c>
      <c r="Y20" s="11"/>
      <c r="Z20" s="12" t="str">
        <f>IF(AND(W20="",X20=""),"단계·확신 비어 있음",IF(W20="","단계 비어 있음",IF(X20="","확신 비어 있음","")))</f>
        <v/>
      </c>
    </row>
    <row r="21" spans="1:26" ht="18.95" customHeight="1" x14ac:dyDescent="0.3">
      <c r="A21" s="9">
        <v>20</v>
      </c>
      <c r="B21" s="9" t="s">
        <v>111</v>
      </c>
      <c r="C21" s="9" t="s">
        <v>112</v>
      </c>
      <c r="D21" s="9" t="s">
        <v>164</v>
      </c>
      <c r="E21" s="6" t="s">
        <v>188</v>
      </c>
      <c r="F21" s="10"/>
      <c r="G21" s="10"/>
      <c r="H21" s="10"/>
      <c r="I21" s="10"/>
      <c r="J21" s="10"/>
      <c r="K21" s="10"/>
      <c r="L21" s="10"/>
      <c r="M21" s="10" t="s">
        <v>276</v>
      </c>
      <c r="N21" s="10"/>
      <c r="O21" s="10"/>
      <c r="P21" s="10"/>
      <c r="Q21" s="10"/>
      <c r="R21" s="10"/>
      <c r="S21" s="10"/>
      <c r="T21" s="10"/>
      <c r="U21" s="10"/>
      <c r="V21" s="10"/>
      <c r="W21" s="10" t="s">
        <v>80</v>
      </c>
      <c r="X21" s="10" t="s">
        <v>278</v>
      </c>
      <c r="Y21" s="11"/>
      <c r="Z21" s="12" t="str">
        <f>IF(AND(W21="",X21=""),"단계·확신 비어 있음",IF(W21="","단계 비어 있음",IF(X21="","확신 비어 있음","")))</f>
        <v/>
      </c>
    </row>
    <row r="22" spans="1:26" ht="18.95" customHeight="1" x14ac:dyDescent="0.3">
      <c r="A22" s="13">
        <v>21</v>
      </c>
      <c r="B22" s="13" t="s">
        <v>111</v>
      </c>
      <c r="C22" s="13" t="s">
        <v>112</v>
      </c>
      <c r="D22" s="13" t="s">
        <v>115</v>
      </c>
      <c r="E22" s="14" t="s">
        <v>189</v>
      </c>
      <c r="F22" s="15"/>
      <c r="G22" s="15"/>
      <c r="H22" s="15"/>
      <c r="I22" s="15"/>
      <c r="J22" s="15"/>
      <c r="K22" s="15"/>
      <c r="L22" s="15"/>
      <c r="M22" s="15"/>
      <c r="N22" s="15"/>
      <c r="O22" s="15"/>
      <c r="P22" s="15"/>
      <c r="Q22" s="15"/>
      <c r="R22" s="15"/>
      <c r="S22" s="15"/>
      <c r="T22" s="15"/>
      <c r="U22" s="15"/>
      <c r="V22" s="15"/>
      <c r="W22" s="15"/>
      <c r="X22" s="15"/>
      <c r="Y22" s="15"/>
      <c r="Z22" s="15"/>
    </row>
    <row r="23" spans="1:26" ht="18.95" customHeight="1" x14ac:dyDescent="0.3">
      <c r="A23" s="9">
        <v>22</v>
      </c>
      <c r="B23" s="9" t="s">
        <v>111</v>
      </c>
      <c r="C23" s="9" t="s">
        <v>112</v>
      </c>
      <c r="D23" s="9" t="s">
        <v>164</v>
      </c>
      <c r="E23" s="6" t="s">
        <v>190</v>
      </c>
      <c r="F23" s="10"/>
      <c r="G23" s="10"/>
      <c r="H23" s="10"/>
      <c r="I23" s="10"/>
      <c r="J23" s="10"/>
      <c r="K23" s="10"/>
      <c r="L23" s="10"/>
      <c r="M23" s="10"/>
      <c r="N23" s="10"/>
      <c r="O23" s="10"/>
      <c r="P23" s="10"/>
      <c r="Q23" s="10"/>
      <c r="R23" s="10"/>
      <c r="S23" s="10"/>
      <c r="T23" s="10"/>
      <c r="U23" s="10"/>
      <c r="V23" s="10"/>
      <c r="W23" s="10" t="s">
        <v>80</v>
      </c>
      <c r="X23" s="10" t="s">
        <v>278</v>
      </c>
      <c r="Y23" s="11"/>
      <c r="Z23" s="12" t="str">
        <f>IF(AND(W23="",X23=""),"단계·확신 비어 있음",IF(W23="","단계 비어 있음",IF(X23="","확신 비어 있음","")))</f>
        <v/>
      </c>
    </row>
  </sheetData>
  <sheetProtection sheet="1" formatColumns="0" formatRows="0"/>
  <phoneticPr fontId="6" type="noConversion"/>
  <conditionalFormatting sqref="F2:V23">
    <cfRule type="expression" dxfId="2" priority="1">
      <formula>F2="●"</formula>
    </cfRule>
  </conditionalFormatting>
  <dataValidations count="3">
    <dataValidation type="list" allowBlank="1" errorTitle="고르기만 가능" error="드롭다운에서 ●를 고르거나 Delete로 지우세요." sqref="F3 F4 F5 F7 F8 F9 F11 F12 F13 F14 F15 F16 F17 F18 F20 F21 F23 G3 G4 G5 G7 G8 G9 G11 G12 G13 G14 G15 G16 G17 G18 G20 G21 G23 H3 H4 H5 H7 H8 H9 H11 H12 H13 H14 H15 H16 H17 H18 H20 H21 H23 I3 I4 I5 I7 I8 I9 I11 I12 I13 I14 I15 I16 I17 I18 I20 I21 I23 J3 J4 J5 J7 J8 J9 J11 J12 J13 J14 J15 J16 J17 J18 J20 J21 J23 K3 K4 K5 K7 K8 K9 K11 K12 K13 K14 K15 K16 K17 K18 K20 K21 K23 L3 L4 L5 L7 L8 L9 L11 L12 L13 L14 L15 L16 L17 L18 L20 L21 L23 M3 M4 M5 M7 M8 M9 M11 M12 M13 M14 M15 M16 M17 M18 M20 M21 M23 N3 N4 N5 N7 N8 N9 N11 N12 N13 N14 N15 N16 N17 N18 N20 N21 N23 O3 O4 O5 O7 O8 O9 O11 O12 O13 O14 O15 O16 O17 O18 O20 O21 O23 P3 P4 P5 P7 P8 P9 P11 P12 P13 P14 P15 P16 P17 P18 P20 P21 P23 Q3 Q4 Q5 Q7 Q8 Q9 Q11 Q12 Q13 Q14 Q15 Q16 Q17 Q18 Q20 Q21 Q23 R3 R4 R5 R7 R8 R9 R11 R12 R13 R14 R15 R16 R17 R18 R20 R21 R23 S3 S4 S5 S7 S8 S9 S11 S12 S13 S14 S15 S16 S17 S18 S20 S21 S23 T3 T4 T5 T7 T8 T9 T11 T12 T13 T14 T15 T16 T17 T18 T20 T21 T23 U3 U4 U5 U7 U8 U9 U11 U12 U13 U14 U15 U16 U17 U18 U20 U21 U23 V3 V4 V5 V7 V8 V9 V11 V12 V13 V14 V15 V16 V17 V18 V20 V21 V23" xr:uid="{00000000-0002-0000-0400-000000000000}">
      <formula1>"●"</formula1>
    </dataValidation>
    <dataValidation type="list" allowBlank="1" errorTitle="단계" error="드롭다운에서 단계를 고르세요." sqref="W3 W4 W5 W7 W8 W9 W11 W12 W13 W14 W15 W16 W17 W18 W20 W21 W23" xr:uid="{00000000-0002-0000-0400-000001000000}">
      <formula1>"접근,신뢰,유도,요구,추가요구,분류불가"</formula1>
    </dataValidation>
    <dataValidation type="list" allowBlank="1" errorTitle="확신" error="높음 또는 낮음을 고르세요." sqref="X3 X4 X5 X7 X8 X9 X11 X12 X13 X14 X15 X16 X17 X18 X20 X21 X23" xr:uid="{00000000-0002-0000-0400-000002000000}">
      <formula1>"높음,낮음"</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8"/>
  <sheetViews>
    <sheetView workbookViewId="0">
      <pane xSplit="5" ySplit="1" topLeftCell="I17" activePane="bottomRight" state="frozen"/>
      <selection pane="topRight"/>
      <selection pane="bottomLeft"/>
      <selection pane="bottomRight" activeCell="X26" sqref="X26"/>
    </sheetView>
  </sheetViews>
  <sheetFormatPr defaultRowHeight="16.5" x14ac:dyDescent="0.3"/>
  <cols>
    <col min="1" max="1" width="5" customWidth="1"/>
    <col min="2" max="2" width="6" customWidth="1"/>
    <col min="3" max="3" width="11" customWidth="1"/>
    <col min="4" max="4" width="12" customWidth="1"/>
    <col min="5" max="5" width="58" customWidth="1"/>
    <col min="6" max="22" width="7" customWidth="1"/>
    <col min="23" max="23" width="10" customWidth="1"/>
    <col min="24" max="24" width="7" customWidth="1"/>
    <col min="25" max="25" width="30" customWidth="1"/>
    <col min="26" max="26" width="14" customWidth="1"/>
  </cols>
  <sheetData>
    <row r="1" spans="1:26" ht="45.95" customHeight="1" x14ac:dyDescent="0.3">
      <c r="A1" s="8" t="s">
        <v>85</v>
      </c>
      <c r="B1" s="8" t="s">
        <v>86</v>
      </c>
      <c r="C1" s="8" t="s">
        <v>87</v>
      </c>
      <c r="D1" s="8" t="s">
        <v>88</v>
      </c>
      <c r="E1" s="8" t="s">
        <v>89</v>
      </c>
      <c r="F1" s="8" t="s">
        <v>90</v>
      </c>
      <c r="G1" s="8" t="s">
        <v>91</v>
      </c>
      <c r="H1" s="8" t="s">
        <v>92</v>
      </c>
      <c r="I1" s="8" t="s">
        <v>93</v>
      </c>
      <c r="J1" s="8" t="s">
        <v>94</v>
      </c>
      <c r="K1" s="8" t="s">
        <v>95</v>
      </c>
      <c r="L1" s="8" t="s">
        <v>96</v>
      </c>
      <c r="M1" s="8" t="s">
        <v>97</v>
      </c>
      <c r="N1" s="8" t="s">
        <v>98</v>
      </c>
      <c r="O1" s="8" t="s">
        <v>99</v>
      </c>
      <c r="P1" s="8" t="s">
        <v>100</v>
      </c>
      <c r="Q1" s="8" t="s">
        <v>101</v>
      </c>
      <c r="R1" s="8" t="s">
        <v>102</v>
      </c>
      <c r="S1" s="8" t="s">
        <v>103</v>
      </c>
      <c r="T1" s="8" t="s">
        <v>104</v>
      </c>
      <c r="U1" s="8" t="s">
        <v>105</v>
      </c>
      <c r="V1" s="8" t="s">
        <v>106</v>
      </c>
      <c r="W1" s="8" t="s">
        <v>107</v>
      </c>
      <c r="X1" s="8" t="s">
        <v>108</v>
      </c>
      <c r="Y1" s="8" t="s">
        <v>109</v>
      </c>
      <c r="Z1" s="8" t="s">
        <v>110</v>
      </c>
    </row>
    <row r="2" spans="1:26" ht="33.950000000000003" customHeight="1" x14ac:dyDescent="0.3">
      <c r="A2" s="9">
        <v>1</v>
      </c>
      <c r="B2" s="9" t="s">
        <v>111</v>
      </c>
      <c r="C2" s="9" t="s">
        <v>171</v>
      </c>
      <c r="D2" s="9" t="s">
        <v>191</v>
      </c>
      <c r="E2" s="6" t="s">
        <v>192</v>
      </c>
      <c r="F2" s="10"/>
      <c r="G2" s="10"/>
      <c r="H2" s="10"/>
      <c r="I2" s="10"/>
      <c r="J2" s="10"/>
      <c r="K2" s="10"/>
      <c r="L2" s="10"/>
      <c r="M2" s="10"/>
      <c r="N2" s="10"/>
      <c r="O2" s="10"/>
      <c r="P2" s="10"/>
      <c r="Q2" s="10"/>
      <c r="R2" s="10"/>
      <c r="S2" s="10"/>
      <c r="T2" s="10"/>
      <c r="U2" s="10"/>
      <c r="V2" s="10"/>
      <c r="W2" s="10" t="s">
        <v>72</v>
      </c>
      <c r="X2" s="10" t="s">
        <v>278</v>
      </c>
      <c r="Y2" s="11"/>
      <c r="Z2" s="12" t="str">
        <f t="shared" ref="Z2:Z9" si="0">IF(AND(W2="",X2=""),"단계·확신 비어 있음",IF(W2="","단계 비어 있음",IF(X2="","확신 비어 있음","")))</f>
        <v/>
      </c>
    </row>
    <row r="3" spans="1:26" ht="33.950000000000003" customHeight="1" x14ac:dyDescent="0.3">
      <c r="A3" s="9">
        <v>2</v>
      </c>
      <c r="B3" s="9" t="s">
        <v>149</v>
      </c>
      <c r="C3" s="9" t="s">
        <v>171</v>
      </c>
      <c r="D3" s="9" t="s">
        <v>191</v>
      </c>
      <c r="E3" s="6" t="s">
        <v>193</v>
      </c>
      <c r="F3" s="10"/>
      <c r="G3" s="10"/>
      <c r="H3" s="10"/>
      <c r="I3" s="10"/>
      <c r="J3" s="10"/>
      <c r="K3" s="10"/>
      <c r="L3" s="10"/>
      <c r="M3" s="10"/>
      <c r="N3" s="10"/>
      <c r="O3" s="10"/>
      <c r="P3" s="10"/>
      <c r="Q3" s="10" t="s">
        <v>276</v>
      </c>
      <c r="R3" s="10"/>
      <c r="S3" s="10"/>
      <c r="T3" s="10"/>
      <c r="U3" s="10"/>
      <c r="V3" s="10"/>
      <c r="W3" s="10" t="s">
        <v>72</v>
      </c>
      <c r="X3" s="10" t="s">
        <v>278</v>
      </c>
      <c r="Y3" s="11"/>
      <c r="Z3" s="12" t="str">
        <f t="shared" si="0"/>
        <v/>
      </c>
    </row>
    <row r="4" spans="1:26" ht="18.95" customHeight="1" x14ac:dyDescent="0.3">
      <c r="A4" s="9">
        <v>3</v>
      </c>
      <c r="B4" s="9" t="s">
        <v>149</v>
      </c>
      <c r="C4" s="9" t="s">
        <v>171</v>
      </c>
      <c r="D4" s="9" t="s">
        <v>178</v>
      </c>
      <c r="E4" s="6" t="s">
        <v>194</v>
      </c>
      <c r="F4" s="10" t="s">
        <v>276</v>
      </c>
      <c r="G4" s="10"/>
      <c r="H4" s="10"/>
      <c r="I4" s="10"/>
      <c r="J4" s="10"/>
      <c r="K4" s="10"/>
      <c r="L4" s="10"/>
      <c r="M4" s="10"/>
      <c r="N4" s="10"/>
      <c r="O4" s="10"/>
      <c r="P4" s="10"/>
      <c r="Q4" s="10"/>
      <c r="R4" s="10"/>
      <c r="S4" s="10"/>
      <c r="T4" s="10"/>
      <c r="U4" s="10"/>
      <c r="V4" s="10"/>
      <c r="W4" s="10" t="s">
        <v>74</v>
      </c>
      <c r="X4" s="10" t="s">
        <v>278</v>
      </c>
      <c r="Y4" s="11"/>
      <c r="Z4" s="12" t="str">
        <f t="shared" si="0"/>
        <v/>
      </c>
    </row>
    <row r="5" spans="1:26" ht="18.95" customHeight="1" x14ac:dyDescent="0.3">
      <c r="A5" s="9">
        <v>4</v>
      </c>
      <c r="B5" s="9" t="s">
        <v>149</v>
      </c>
      <c r="C5" s="9" t="s">
        <v>171</v>
      </c>
      <c r="D5" s="9" t="s">
        <v>180</v>
      </c>
      <c r="E5" s="6" t="s">
        <v>195</v>
      </c>
      <c r="F5" s="10" t="s">
        <v>276</v>
      </c>
      <c r="G5" s="10"/>
      <c r="H5" s="10"/>
      <c r="I5" s="10"/>
      <c r="J5" s="10"/>
      <c r="K5" s="10"/>
      <c r="L5" s="10"/>
      <c r="M5" s="10"/>
      <c r="N5" s="10"/>
      <c r="O5" s="10"/>
      <c r="P5" s="10"/>
      <c r="Q5" s="10"/>
      <c r="R5" s="10"/>
      <c r="S5" s="10"/>
      <c r="T5" s="10"/>
      <c r="U5" s="10"/>
      <c r="V5" s="10"/>
      <c r="W5" s="10" t="s">
        <v>74</v>
      </c>
      <c r="X5" s="10" t="s">
        <v>278</v>
      </c>
      <c r="Y5" s="11"/>
      <c r="Z5" s="12" t="str">
        <f t="shared" si="0"/>
        <v/>
      </c>
    </row>
    <row r="6" spans="1:26" ht="48.95" customHeight="1" x14ac:dyDescent="0.3">
      <c r="A6" s="9">
        <v>5</v>
      </c>
      <c r="B6" s="9" t="s">
        <v>149</v>
      </c>
      <c r="C6" s="9" t="s">
        <v>171</v>
      </c>
      <c r="D6" s="9" t="s">
        <v>191</v>
      </c>
      <c r="E6" s="6" t="s">
        <v>196</v>
      </c>
      <c r="F6" s="10"/>
      <c r="G6" s="10"/>
      <c r="H6" s="10"/>
      <c r="I6" s="10"/>
      <c r="J6" s="10"/>
      <c r="K6" s="10"/>
      <c r="L6" s="10"/>
      <c r="M6" s="10"/>
      <c r="N6" s="10" t="s">
        <v>276</v>
      </c>
      <c r="O6" s="10"/>
      <c r="P6" s="10"/>
      <c r="Q6" s="10"/>
      <c r="R6" s="10"/>
      <c r="S6" s="10"/>
      <c r="T6" s="10"/>
      <c r="U6" s="10"/>
      <c r="V6" s="10"/>
      <c r="W6" s="10" t="s">
        <v>74</v>
      </c>
      <c r="X6" s="10" t="s">
        <v>278</v>
      </c>
      <c r="Y6" s="11"/>
      <c r="Z6" s="12" t="str">
        <f t="shared" si="0"/>
        <v/>
      </c>
    </row>
    <row r="7" spans="1:26" ht="33.950000000000003" customHeight="1" x14ac:dyDescent="0.3">
      <c r="A7" s="9">
        <v>6</v>
      </c>
      <c r="B7" s="9" t="s">
        <v>197</v>
      </c>
      <c r="C7" s="9" t="s">
        <v>171</v>
      </c>
      <c r="D7" s="9" t="s">
        <v>191</v>
      </c>
      <c r="E7" s="6" t="s">
        <v>198</v>
      </c>
      <c r="F7" s="10"/>
      <c r="G7" s="10"/>
      <c r="H7" s="10"/>
      <c r="I7" s="10"/>
      <c r="J7" s="10"/>
      <c r="K7" s="10"/>
      <c r="L7" s="10"/>
      <c r="M7" s="10"/>
      <c r="N7" s="10" t="s">
        <v>276</v>
      </c>
      <c r="O7" s="10"/>
      <c r="P7" s="10"/>
      <c r="Q7" s="10"/>
      <c r="R7" s="10"/>
      <c r="S7" s="10"/>
      <c r="T7" s="10"/>
      <c r="U7" s="10"/>
      <c r="V7" s="10"/>
      <c r="W7" s="10" t="s">
        <v>74</v>
      </c>
      <c r="X7" s="10" t="s">
        <v>278</v>
      </c>
      <c r="Y7" s="11"/>
      <c r="Z7" s="12" t="str">
        <f t="shared" si="0"/>
        <v/>
      </c>
    </row>
    <row r="8" spans="1:26" ht="33.950000000000003" customHeight="1" x14ac:dyDescent="0.3">
      <c r="A8" s="9">
        <v>7</v>
      </c>
      <c r="B8" s="9" t="s">
        <v>197</v>
      </c>
      <c r="C8" s="9" t="s">
        <v>171</v>
      </c>
      <c r="D8" s="9" t="s">
        <v>191</v>
      </c>
      <c r="E8" s="6" t="s">
        <v>199</v>
      </c>
      <c r="F8" s="10"/>
      <c r="G8" s="10"/>
      <c r="H8" s="10"/>
      <c r="I8" s="10"/>
      <c r="J8" s="10"/>
      <c r="K8" s="10"/>
      <c r="L8" s="10"/>
      <c r="M8" s="10"/>
      <c r="N8" s="10" t="s">
        <v>276</v>
      </c>
      <c r="O8" s="10"/>
      <c r="P8" s="10"/>
      <c r="Q8" s="10"/>
      <c r="R8" s="10"/>
      <c r="S8" s="10"/>
      <c r="T8" s="10"/>
      <c r="U8" s="10"/>
      <c r="V8" s="10"/>
      <c r="W8" s="10" t="s">
        <v>74</v>
      </c>
      <c r="X8" s="10" t="s">
        <v>278</v>
      </c>
      <c r="Y8" s="11"/>
      <c r="Z8" s="12" t="str">
        <f t="shared" si="0"/>
        <v/>
      </c>
    </row>
    <row r="9" spans="1:26" ht="33.950000000000003" customHeight="1" x14ac:dyDescent="0.3">
      <c r="A9" s="9">
        <v>8</v>
      </c>
      <c r="B9" s="9" t="s">
        <v>197</v>
      </c>
      <c r="C9" s="9" t="s">
        <v>112</v>
      </c>
      <c r="D9" s="9" t="s">
        <v>191</v>
      </c>
      <c r="E9" s="6" t="s">
        <v>200</v>
      </c>
      <c r="F9" s="10"/>
      <c r="G9" s="10"/>
      <c r="H9" s="10"/>
      <c r="I9" s="10"/>
      <c r="J9" s="10"/>
      <c r="K9" s="10"/>
      <c r="L9" s="10"/>
      <c r="M9" s="10"/>
      <c r="N9" s="10" t="s">
        <v>276</v>
      </c>
      <c r="O9" s="10"/>
      <c r="P9" s="10"/>
      <c r="Q9" s="10"/>
      <c r="R9" s="10"/>
      <c r="S9" s="10"/>
      <c r="T9" s="10"/>
      <c r="U9" s="10"/>
      <c r="V9" s="10"/>
      <c r="W9" s="10" t="s">
        <v>76</v>
      </c>
      <c r="X9" s="10" t="s">
        <v>278</v>
      </c>
      <c r="Y9" s="11"/>
      <c r="Z9" s="12" t="str">
        <f t="shared" si="0"/>
        <v/>
      </c>
    </row>
    <row r="10" spans="1:26" ht="18.95" customHeight="1" x14ac:dyDescent="0.3">
      <c r="A10" s="13">
        <v>9</v>
      </c>
      <c r="B10" s="13" t="s">
        <v>197</v>
      </c>
      <c r="C10" s="13" t="s">
        <v>112</v>
      </c>
      <c r="D10" s="13" t="s">
        <v>115</v>
      </c>
      <c r="E10" s="14" t="s">
        <v>201</v>
      </c>
      <c r="F10" s="15"/>
      <c r="G10" s="15"/>
      <c r="H10" s="15"/>
      <c r="I10" s="15"/>
      <c r="J10" s="15"/>
      <c r="K10" s="15"/>
      <c r="L10" s="15"/>
      <c r="M10" s="15"/>
      <c r="N10" s="15"/>
      <c r="O10" s="15"/>
      <c r="P10" s="15"/>
      <c r="Q10" s="15"/>
      <c r="R10" s="15"/>
      <c r="S10" s="15"/>
      <c r="T10" s="15"/>
      <c r="U10" s="15"/>
      <c r="V10" s="15"/>
      <c r="W10" s="15"/>
      <c r="X10" s="15"/>
      <c r="Y10" s="15"/>
      <c r="Z10" s="15"/>
    </row>
    <row r="11" spans="1:26" ht="18.95" customHeight="1" x14ac:dyDescent="0.3">
      <c r="A11" s="9">
        <v>10</v>
      </c>
      <c r="B11" s="9" t="s">
        <v>155</v>
      </c>
      <c r="C11" s="9" t="s">
        <v>112</v>
      </c>
      <c r="D11" s="9" t="s">
        <v>191</v>
      </c>
      <c r="E11" s="6" t="s">
        <v>202</v>
      </c>
      <c r="F11" s="10"/>
      <c r="G11" s="10" t="s">
        <v>276</v>
      </c>
      <c r="H11" s="10"/>
      <c r="I11" s="10"/>
      <c r="J11" s="10"/>
      <c r="K11" s="10"/>
      <c r="L11" s="10"/>
      <c r="M11" s="10"/>
      <c r="N11" s="10"/>
      <c r="O11" s="10"/>
      <c r="P11" s="10"/>
      <c r="Q11" s="10"/>
      <c r="R11" s="10"/>
      <c r="S11" s="10"/>
      <c r="T11" s="10"/>
      <c r="U11" s="10"/>
      <c r="V11" s="10"/>
      <c r="W11" s="10" t="s">
        <v>74</v>
      </c>
      <c r="X11" s="10" t="s">
        <v>278</v>
      </c>
      <c r="Y11" s="11"/>
      <c r="Z11" s="12" t="str">
        <f>IF(AND(W11="",X11=""),"단계·확신 비어 있음",IF(W11="","단계 비어 있음",IF(X11="","확신 비어 있음","")))</f>
        <v/>
      </c>
    </row>
    <row r="12" spans="1:26" ht="18.95" customHeight="1" x14ac:dyDescent="0.3">
      <c r="A12" s="13">
        <v>11</v>
      </c>
      <c r="B12" s="13" t="s">
        <v>155</v>
      </c>
      <c r="C12" s="13" t="s">
        <v>112</v>
      </c>
      <c r="D12" s="13" t="s">
        <v>115</v>
      </c>
      <c r="E12" s="14" t="s">
        <v>203</v>
      </c>
      <c r="F12" s="15"/>
      <c r="G12" s="15"/>
      <c r="H12" s="15"/>
      <c r="I12" s="15"/>
      <c r="J12" s="15"/>
      <c r="K12" s="15"/>
      <c r="L12" s="15"/>
      <c r="M12" s="15"/>
      <c r="N12" s="15"/>
      <c r="O12" s="15"/>
      <c r="P12" s="15"/>
      <c r="Q12" s="15"/>
      <c r="R12" s="15"/>
      <c r="S12" s="15"/>
      <c r="T12" s="15"/>
      <c r="U12" s="15"/>
      <c r="V12" s="15"/>
      <c r="W12" s="15"/>
      <c r="X12" s="15"/>
      <c r="Y12" s="15"/>
      <c r="Z12" s="15"/>
    </row>
    <row r="13" spans="1:26" ht="33.950000000000003" customHeight="1" x14ac:dyDescent="0.3">
      <c r="A13" s="9">
        <v>12</v>
      </c>
      <c r="B13" s="9" t="s">
        <v>204</v>
      </c>
      <c r="C13" s="9" t="s">
        <v>171</v>
      </c>
      <c r="D13" s="9" t="s">
        <v>182</v>
      </c>
      <c r="E13" s="6" t="s">
        <v>205</v>
      </c>
      <c r="F13" s="10"/>
      <c r="G13" s="10" t="s">
        <v>276</v>
      </c>
      <c r="H13" s="10"/>
      <c r="I13" s="10"/>
      <c r="J13" s="10"/>
      <c r="K13" s="10"/>
      <c r="L13" s="10"/>
      <c r="M13" s="10"/>
      <c r="N13" s="10"/>
      <c r="O13" s="10"/>
      <c r="P13" s="10"/>
      <c r="Q13" s="10"/>
      <c r="R13" s="10"/>
      <c r="S13" s="10"/>
      <c r="T13" s="10"/>
      <c r="U13" s="10"/>
      <c r="V13" s="10"/>
      <c r="W13" s="10" t="s">
        <v>74</v>
      </c>
      <c r="X13" s="10" t="s">
        <v>278</v>
      </c>
      <c r="Y13" s="11"/>
      <c r="Z13" s="12" t="str">
        <f t="shared" ref="Z13:Z21" si="1">IF(AND(W13="",X13=""),"단계·확신 비어 있음",IF(W13="","단계 비어 있음",IF(X13="","확신 비어 있음","")))</f>
        <v/>
      </c>
    </row>
    <row r="14" spans="1:26" ht="18.95" customHeight="1" x14ac:dyDescent="0.3">
      <c r="A14" s="9">
        <v>13</v>
      </c>
      <c r="B14" s="9" t="s">
        <v>206</v>
      </c>
      <c r="C14" s="9" t="s">
        <v>171</v>
      </c>
      <c r="D14" s="9" t="s">
        <v>180</v>
      </c>
      <c r="E14" s="6" t="s">
        <v>207</v>
      </c>
      <c r="F14" s="10" t="s">
        <v>276</v>
      </c>
      <c r="G14" s="10"/>
      <c r="H14" s="10"/>
      <c r="I14" s="10"/>
      <c r="J14" s="10"/>
      <c r="K14" s="10"/>
      <c r="L14" s="10"/>
      <c r="M14" s="10"/>
      <c r="N14" s="10"/>
      <c r="O14" s="10"/>
      <c r="P14" s="10"/>
      <c r="Q14" s="10"/>
      <c r="R14" s="10"/>
      <c r="S14" s="10"/>
      <c r="T14" s="10"/>
      <c r="U14" s="10"/>
      <c r="V14" s="10"/>
      <c r="W14" s="10" t="s">
        <v>74</v>
      </c>
      <c r="X14" s="10" t="s">
        <v>278</v>
      </c>
      <c r="Y14" s="11"/>
      <c r="Z14" s="12" t="str">
        <f t="shared" si="1"/>
        <v/>
      </c>
    </row>
    <row r="15" spans="1:26" ht="18.95" customHeight="1" x14ac:dyDescent="0.3">
      <c r="A15" s="9">
        <v>14</v>
      </c>
      <c r="B15" s="9" t="s">
        <v>206</v>
      </c>
      <c r="C15" s="9" t="s">
        <v>171</v>
      </c>
      <c r="D15" s="9" t="s">
        <v>180</v>
      </c>
      <c r="E15" s="6" t="s">
        <v>127</v>
      </c>
      <c r="F15" s="10" t="s">
        <v>276</v>
      </c>
      <c r="G15" s="10"/>
      <c r="H15" s="10"/>
      <c r="I15" s="10"/>
      <c r="J15" s="10"/>
      <c r="K15" s="10"/>
      <c r="L15" s="10"/>
      <c r="M15" s="10"/>
      <c r="N15" s="10"/>
      <c r="O15" s="10"/>
      <c r="P15" s="10"/>
      <c r="Q15" s="10"/>
      <c r="R15" s="10"/>
      <c r="S15" s="10"/>
      <c r="T15" s="10"/>
      <c r="U15" s="10"/>
      <c r="V15" s="10"/>
      <c r="W15" s="10" t="s">
        <v>74</v>
      </c>
      <c r="X15" s="10" t="s">
        <v>278</v>
      </c>
      <c r="Y15" s="11"/>
      <c r="Z15" s="12" t="str">
        <f t="shared" si="1"/>
        <v/>
      </c>
    </row>
    <row r="16" spans="1:26" ht="48.95" customHeight="1" x14ac:dyDescent="0.3">
      <c r="A16" s="9">
        <v>15</v>
      </c>
      <c r="B16" s="9" t="s">
        <v>128</v>
      </c>
      <c r="C16" s="9" t="s">
        <v>171</v>
      </c>
      <c r="D16" s="9" t="s">
        <v>208</v>
      </c>
      <c r="E16" s="6" t="s">
        <v>209</v>
      </c>
      <c r="F16" s="10"/>
      <c r="G16" s="10"/>
      <c r="H16" s="10"/>
      <c r="I16" s="10"/>
      <c r="J16" s="10"/>
      <c r="K16" s="10"/>
      <c r="L16" s="10"/>
      <c r="M16" s="10"/>
      <c r="N16" s="10" t="s">
        <v>276</v>
      </c>
      <c r="O16" s="10"/>
      <c r="P16" s="10"/>
      <c r="Q16" s="10"/>
      <c r="R16" s="10"/>
      <c r="S16" s="10"/>
      <c r="T16" s="10"/>
      <c r="U16" s="10"/>
      <c r="V16" s="10"/>
      <c r="W16" s="10" t="s">
        <v>74</v>
      </c>
      <c r="X16" s="10" t="s">
        <v>278</v>
      </c>
      <c r="Y16" s="11"/>
      <c r="Z16" s="12" t="str">
        <f t="shared" si="1"/>
        <v/>
      </c>
    </row>
    <row r="17" spans="1:26" ht="18.95" customHeight="1" x14ac:dyDescent="0.3">
      <c r="A17" s="9">
        <v>16</v>
      </c>
      <c r="B17" s="9" t="s">
        <v>128</v>
      </c>
      <c r="C17" s="9" t="s">
        <v>171</v>
      </c>
      <c r="D17" s="9" t="s">
        <v>208</v>
      </c>
      <c r="E17" s="6" t="s">
        <v>210</v>
      </c>
      <c r="F17" s="10"/>
      <c r="G17" s="10"/>
      <c r="H17" s="10"/>
      <c r="I17" s="10"/>
      <c r="J17" s="10"/>
      <c r="K17" s="10"/>
      <c r="L17" s="10"/>
      <c r="M17" s="10"/>
      <c r="N17" s="10"/>
      <c r="O17" s="10"/>
      <c r="P17" s="10"/>
      <c r="Q17" s="10"/>
      <c r="R17" s="10"/>
      <c r="S17" s="10"/>
      <c r="T17" s="10"/>
      <c r="U17" s="10"/>
      <c r="V17" s="10"/>
      <c r="W17" s="10" t="s">
        <v>74</v>
      </c>
      <c r="X17" s="10" t="s">
        <v>278</v>
      </c>
      <c r="Y17" s="11"/>
      <c r="Z17" s="12" t="str">
        <f t="shared" si="1"/>
        <v/>
      </c>
    </row>
    <row r="18" spans="1:26" ht="48.95" customHeight="1" x14ac:dyDescent="0.3">
      <c r="A18" s="9">
        <v>17</v>
      </c>
      <c r="B18" s="9" t="s">
        <v>128</v>
      </c>
      <c r="C18" s="9" t="s">
        <v>171</v>
      </c>
      <c r="D18" s="9" t="s">
        <v>191</v>
      </c>
      <c r="E18" s="6" t="s">
        <v>211</v>
      </c>
      <c r="F18" s="10"/>
      <c r="G18" s="10"/>
      <c r="H18" s="10"/>
      <c r="I18" s="10"/>
      <c r="J18" s="10"/>
      <c r="K18" s="10"/>
      <c r="L18" s="10"/>
      <c r="M18" s="10"/>
      <c r="N18" s="10"/>
      <c r="O18" s="10" t="s">
        <v>276</v>
      </c>
      <c r="P18" s="10"/>
      <c r="Q18" s="10"/>
      <c r="R18" s="10"/>
      <c r="S18" s="10"/>
      <c r="T18" s="10"/>
      <c r="U18" s="10"/>
      <c r="V18" s="10"/>
      <c r="W18" s="10" t="s">
        <v>74</v>
      </c>
      <c r="X18" s="10" t="s">
        <v>278</v>
      </c>
      <c r="Y18" s="11"/>
      <c r="Z18" s="12" t="str">
        <f t="shared" si="1"/>
        <v/>
      </c>
    </row>
    <row r="19" spans="1:26" ht="33.950000000000003" customHeight="1" x14ac:dyDescent="0.3">
      <c r="A19" s="9">
        <v>18</v>
      </c>
      <c r="B19" s="9" t="s">
        <v>128</v>
      </c>
      <c r="C19" s="9" t="s">
        <v>171</v>
      </c>
      <c r="D19" s="9" t="s">
        <v>191</v>
      </c>
      <c r="E19" s="6" t="s">
        <v>212</v>
      </c>
      <c r="F19" s="10"/>
      <c r="G19" s="10"/>
      <c r="H19" s="10"/>
      <c r="I19" s="10"/>
      <c r="J19" s="10"/>
      <c r="K19" s="10"/>
      <c r="L19" s="10"/>
      <c r="M19" s="10" t="s">
        <v>276</v>
      </c>
      <c r="N19" s="10"/>
      <c r="O19" s="10"/>
      <c r="P19" s="10"/>
      <c r="Q19" s="10"/>
      <c r="R19" s="10"/>
      <c r="S19" s="10"/>
      <c r="T19" s="10"/>
      <c r="U19" s="10"/>
      <c r="V19" s="10"/>
      <c r="W19" s="10" t="s">
        <v>74</v>
      </c>
      <c r="X19" s="10" t="s">
        <v>278</v>
      </c>
      <c r="Y19" s="11"/>
      <c r="Z19" s="12" t="str">
        <f t="shared" si="1"/>
        <v/>
      </c>
    </row>
    <row r="20" spans="1:26" ht="18.95" customHeight="1" x14ac:dyDescent="0.3">
      <c r="A20" s="9">
        <v>19</v>
      </c>
      <c r="B20" s="9" t="s">
        <v>128</v>
      </c>
      <c r="C20" s="9" t="s">
        <v>171</v>
      </c>
      <c r="D20" s="9" t="s">
        <v>178</v>
      </c>
      <c r="E20" s="6" t="s">
        <v>213</v>
      </c>
      <c r="F20" s="10" t="s">
        <v>276</v>
      </c>
      <c r="G20" s="10"/>
      <c r="H20" s="10"/>
      <c r="I20" s="10"/>
      <c r="J20" s="10"/>
      <c r="K20" s="10"/>
      <c r="L20" s="10"/>
      <c r="M20" s="10"/>
      <c r="N20" s="10"/>
      <c r="O20" s="10"/>
      <c r="P20" s="10"/>
      <c r="Q20" s="10"/>
      <c r="R20" s="10"/>
      <c r="S20" s="10"/>
      <c r="T20" s="10"/>
      <c r="U20" s="10"/>
      <c r="V20" s="10"/>
      <c r="W20" s="10" t="s">
        <v>74</v>
      </c>
      <c r="X20" s="10" t="s">
        <v>278</v>
      </c>
      <c r="Y20" s="11"/>
      <c r="Z20" s="12" t="str">
        <f t="shared" si="1"/>
        <v/>
      </c>
    </row>
    <row r="21" spans="1:26" ht="18.95" customHeight="1" x14ac:dyDescent="0.3">
      <c r="A21" s="9">
        <v>20</v>
      </c>
      <c r="B21" s="9" t="s">
        <v>128</v>
      </c>
      <c r="C21" s="9" t="s">
        <v>171</v>
      </c>
      <c r="D21" s="9" t="s">
        <v>182</v>
      </c>
      <c r="E21" s="6" t="s">
        <v>214</v>
      </c>
      <c r="F21" s="10" t="s">
        <v>276</v>
      </c>
      <c r="G21" s="10"/>
      <c r="H21" s="10"/>
      <c r="I21" s="10"/>
      <c r="J21" s="10"/>
      <c r="K21" s="10"/>
      <c r="L21" s="10"/>
      <c r="M21" s="10"/>
      <c r="N21" s="10"/>
      <c r="O21" s="10"/>
      <c r="P21" s="10"/>
      <c r="Q21" s="10"/>
      <c r="R21" s="10"/>
      <c r="S21" s="10"/>
      <c r="T21" s="10"/>
      <c r="U21" s="10"/>
      <c r="V21" s="10"/>
      <c r="W21" s="10" t="s">
        <v>74</v>
      </c>
      <c r="X21" s="10" t="s">
        <v>278</v>
      </c>
      <c r="Y21" s="11"/>
      <c r="Z21" s="12" t="str">
        <f t="shared" si="1"/>
        <v/>
      </c>
    </row>
    <row r="22" spans="1:26" ht="18.95" customHeight="1" x14ac:dyDescent="0.3">
      <c r="A22" s="13">
        <v>21</v>
      </c>
      <c r="B22" s="13" t="s">
        <v>215</v>
      </c>
      <c r="C22" s="13" t="s">
        <v>171</v>
      </c>
      <c r="D22" s="13" t="s">
        <v>115</v>
      </c>
      <c r="E22" s="14" t="s">
        <v>216</v>
      </c>
      <c r="F22" s="15"/>
      <c r="G22" s="15"/>
      <c r="H22" s="15"/>
      <c r="I22" s="15"/>
      <c r="J22" s="15"/>
      <c r="K22" s="15"/>
      <c r="L22" s="15"/>
      <c r="M22" s="15"/>
      <c r="N22" s="15"/>
      <c r="O22" s="15"/>
      <c r="P22" s="15"/>
      <c r="Q22" s="15"/>
      <c r="R22" s="15"/>
      <c r="S22" s="15"/>
      <c r="T22" s="15"/>
      <c r="U22" s="15"/>
      <c r="V22" s="15"/>
      <c r="W22" s="15"/>
      <c r="X22" s="15"/>
      <c r="Y22" s="15"/>
      <c r="Z22" s="15"/>
    </row>
    <row r="23" spans="1:26" ht="18.95" customHeight="1" x14ac:dyDescent="0.3">
      <c r="A23" s="9">
        <v>22</v>
      </c>
      <c r="B23" s="9" t="s">
        <v>217</v>
      </c>
      <c r="C23" s="9" t="s">
        <v>171</v>
      </c>
      <c r="D23" s="9" t="s">
        <v>180</v>
      </c>
      <c r="E23" s="6" t="s">
        <v>218</v>
      </c>
      <c r="F23" s="10" t="s">
        <v>276</v>
      </c>
      <c r="G23" s="10"/>
      <c r="H23" s="10"/>
      <c r="I23" s="10"/>
      <c r="J23" s="10"/>
      <c r="K23" s="10"/>
      <c r="L23" s="10"/>
      <c r="M23" s="10"/>
      <c r="N23" s="10"/>
      <c r="O23" s="10"/>
      <c r="P23" s="10"/>
      <c r="Q23" s="10"/>
      <c r="R23" s="10"/>
      <c r="S23" s="10"/>
      <c r="T23" s="10"/>
      <c r="U23" s="10"/>
      <c r="V23" s="10"/>
      <c r="W23" s="10" t="s">
        <v>74</v>
      </c>
      <c r="X23" s="10" t="s">
        <v>278</v>
      </c>
      <c r="Y23" s="11"/>
      <c r="Z23" s="12" t="str">
        <f t="shared" ref="Z23:Z28" si="2">IF(AND(W23="",X23=""),"단계·확신 비어 있음",IF(W23="","단계 비어 있음",IF(X23="","확신 비어 있음","")))</f>
        <v/>
      </c>
    </row>
    <row r="24" spans="1:26" ht="18.95" customHeight="1" x14ac:dyDescent="0.3">
      <c r="A24" s="9">
        <v>23</v>
      </c>
      <c r="B24" s="9" t="s">
        <v>217</v>
      </c>
      <c r="C24" s="9" t="s">
        <v>171</v>
      </c>
      <c r="D24" s="9" t="s">
        <v>180</v>
      </c>
      <c r="E24" s="6" t="s">
        <v>127</v>
      </c>
      <c r="F24" s="10" t="s">
        <v>276</v>
      </c>
      <c r="G24" s="10"/>
      <c r="H24" s="10"/>
      <c r="I24" s="10"/>
      <c r="J24" s="10"/>
      <c r="K24" s="10"/>
      <c r="L24" s="10"/>
      <c r="M24" s="10"/>
      <c r="N24" s="10"/>
      <c r="O24" s="10"/>
      <c r="P24" s="10"/>
      <c r="Q24" s="10"/>
      <c r="R24" s="10"/>
      <c r="S24" s="10"/>
      <c r="T24" s="10"/>
      <c r="U24" s="10"/>
      <c r="V24" s="10"/>
      <c r="W24" s="10" t="s">
        <v>74</v>
      </c>
      <c r="X24" s="10" t="s">
        <v>278</v>
      </c>
      <c r="Y24" s="11"/>
      <c r="Z24" s="12" t="str">
        <f t="shared" si="2"/>
        <v/>
      </c>
    </row>
    <row r="25" spans="1:26" ht="48.95" customHeight="1" x14ac:dyDescent="0.3">
      <c r="A25" s="9">
        <v>24</v>
      </c>
      <c r="B25" s="9" t="s">
        <v>217</v>
      </c>
      <c r="C25" s="9" t="s">
        <v>171</v>
      </c>
      <c r="D25" s="9" t="s">
        <v>208</v>
      </c>
      <c r="E25" s="6" t="s">
        <v>219</v>
      </c>
      <c r="F25" s="10"/>
      <c r="G25" s="10"/>
      <c r="H25" s="10"/>
      <c r="I25" s="10"/>
      <c r="J25" s="10"/>
      <c r="K25" s="10"/>
      <c r="L25" s="10"/>
      <c r="M25" s="10"/>
      <c r="N25" s="10"/>
      <c r="O25" s="10" t="s">
        <v>276</v>
      </c>
      <c r="P25" s="10"/>
      <c r="Q25" s="10"/>
      <c r="R25" s="10"/>
      <c r="S25" s="10"/>
      <c r="T25" s="10"/>
      <c r="U25" s="10"/>
      <c r="V25" s="10"/>
      <c r="W25" s="10" t="s">
        <v>76</v>
      </c>
      <c r="X25" s="10" t="s">
        <v>278</v>
      </c>
      <c r="Y25" s="11"/>
      <c r="Z25" s="12" t="str">
        <f t="shared" si="2"/>
        <v/>
      </c>
    </row>
    <row r="26" spans="1:26" ht="48.95" customHeight="1" x14ac:dyDescent="0.3">
      <c r="A26" s="9">
        <v>25</v>
      </c>
      <c r="B26" s="9" t="s">
        <v>217</v>
      </c>
      <c r="C26" s="9" t="s">
        <v>171</v>
      </c>
      <c r="D26" s="9" t="s">
        <v>208</v>
      </c>
      <c r="E26" s="6" t="s">
        <v>220</v>
      </c>
      <c r="F26" s="10"/>
      <c r="G26" s="10"/>
      <c r="H26" s="10"/>
      <c r="I26" s="10"/>
      <c r="J26" s="10"/>
      <c r="K26" s="10"/>
      <c r="L26" s="10"/>
      <c r="M26" s="10"/>
      <c r="N26" s="10"/>
      <c r="O26" s="10" t="s">
        <v>276</v>
      </c>
      <c r="P26" s="10"/>
      <c r="Q26" s="10"/>
      <c r="R26" s="10"/>
      <c r="S26" s="10"/>
      <c r="T26" s="10"/>
      <c r="U26" s="10"/>
      <c r="V26" s="10"/>
      <c r="W26" s="10" t="s">
        <v>76</v>
      </c>
      <c r="X26" s="10" t="s">
        <v>278</v>
      </c>
      <c r="Y26" s="11"/>
      <c r="Z26" s="12" t="str">
        <f t="shared" si="2"/>
        <v/>
      </c>
    </row>
    <row r="27" spans="1:26" ht="33.950000000000003" customHeight="1" x14ac:dyDescent="0.3">
      <c r="A27" s="9">
        <v>26</v>
      </c>
      <c r="B27" s="9" t="s">
        <v>217</v>
      </c>
      <c r="C27" s="9" t="s">
        <v>171</v>
      </c>
      <c r="D27" s="9" t="s">
        <v>208</v>
      </c>
      <c r="E27" s="6" t="s">
        <v>221</v>
      </c>
      <c r="F27" s="10"/>
      <c r="G27" s="10"/>
      <c r="H27" s="10"/>
      <c r="I27" s="10"/>
      <c r="J27" s="10"/>
      <c r="K27" s="10"/>
      <c r="L27" s="10"/>
      <c r="M27" s="10"/>
      <c r="N27" s="10"/>
      <c r="O27" s="10" t="s">
        <v>276</v>
      </c>
      <c r="P27" s="10"/>
      <c r="Q27" s="10"/>
      <c r="R27" s="10"/>
      <c r="S27" s="10"/>
      <c r="T27" s="10"/>
      <c r="U27" s="10"/>
      <c r="V27" s="10"/>
      <c r="W27" s="10" t="s">
        <v>76</v>
      </c>
      <c r="X27" s="10" t="s">
        <v>278</v>
      </c>
      <c r="Y27" s="11"/>
      <c r="Z27" s="12" t="str">
        <f t="shared" si="2"/>
        <v/>
      </c>
    </row>
    <row r="28" spans="1:26" ht="33.950000000000003" customHeight="1" x14ac:dyDescent="0.3">
      <c r="A28" s="9">
        <v>27</v>
      </c>
      <c r="B28" s="9" t="s">
        <v>222</v>
      </c>
      <c r="C28" s="9" t="s">
        <v>112</v>
      </c>
      <c r="D28" s="9" t="s">
        <v>191</v>
      </c>
      <c r="E28" s="6" t="s">
        <v>223</v>
      </c>
      <c r="F28" s="10"/>
      <c r="G28" s="10"/>
      <c r="H28" s="10"/>
      <c r="I28" s="10" t="s">
        <v>276</v>
      </c>
      <c r="J28" s="10"/>
      <c r="K28" s="10"/>
      <c r="L28" s="10"/>
      <c r="M28" s="10"/>
      <c r="N28" s="10"/>
      <c r="O28" s="10"/>
      <c r="P28" s="10"/>
      <c r="Q28" s="10"/>
      <c r="R28" s="10"/>
      <c r="S28" s="10"/>
      <c r="T28" s="10"/>
      <c r="U28" s="10"/>
      <c r="V28" s="10"/>
      <c r="W28" s="10" t="s">
        <v>78</v>
      </c>
      <c r="X28" s="10" t="s">
        <v>278</v>
      </c>
      <c r="Y28" s="11"/>
      <c r="Z28" s="12" t="str">
        <f t="shared" si="2"/>
        <v/>
      </c>
    </row>
    <row r="29" spans="1:26" ht="18.95" customHeight="1" x14ac:dyDescent="0.3">
      <c r="A29" s="13">
        <v>28</v>
      </c>
      <c r="B29" s="13" t="s">
        <v>222</v>
      </c>
      <c r="C29" s="13" t="s">
        <v>112</v>
      </c>
      <c r="D29" s="13" t="s">
        <v>115</v>
      </c>
      <c r="E29" s="14" t="s">
        <v>224</v>
      </c>
      <c r="F29" s="15"/>
      <c r="G29" s="15"/>
      <c r="H29" s="15"/>
      <c r="I29" s="15"/>
      <c r="J29" s="15"/>
      <c r="K29" s="15"/>
      <c r="L29" s="15"/>
      <c r="M29" s="15"/>
      <c r="N29" s="15"/>
      <c r="O29" s="15"/>
      <c r="P29" s="15"/>
      <c r="Q29" s="15"/>
      <c r="R29" s="15"/>
      <c r="S29" s="15"/>
      <c r="T29" s="15"/>
      <c r="U29" s="15"/>
      <c r="V29" s="15"/>
      <c r="W29" s="15"/>
      <c r="X29" s="15"/>
      <c r="Y29" s="15"/>
      <c r="Z29" s="15"/>
    </row>
    <row r="30" spans="1:26" ht="18.95" customHeight="1" x14ac:dyDescent="0.3">
      <c r="A30" s="9">
        <v>29</v>
      </c>
      <c r="B30" s="9" t="s">
        <v>222</v>
      </c>
      <c r="C30" s="9" t="s">
        <v>112</v>
      </c>
      <c r="D30" s="9" t="s">
        <v>191</v>
      </c>
      <c r="E30" s="6" t="s">
        <v>225</v>
      </c>
      <c r="F30" s="10" t="s">
        <v>276</v>
      </c>
      <c r="G30" s="10"/>
      <c r="H30" s="10"/>
      <c r="I30" s="10"/>
      <c r="J30" s="10"/>
      <c r="K30" s="10"/>
      <c r="L30" s="10"/>
      <c r="M30" s="10"/>
      <c r="N30" s="10"/>
      <c r="O30" s="10"/>
      <c r="P30" s="10"/>
      <c r="Q30" s="10"/>
      <c r="R30" s="10"/>
      <c r="S30" s="10"/>
      <c r="T30" s="10"/>
      <c r="U30" s="10"/>
      <c r="V30" s="10"/>
      <c r="W30" s="10" t="s">
        <v>74</v>
      </c>
      <c r="X30" s="10" t="s">
        <v>278</v>
      </c>
      <c r="Y30" s="11"/>
      <c r="Z30" s="12" t="str">
        <f>IF(AND(W30="",X30=""),"단계·확신 비어 있음",IF(W30="","단계 비어 있음",IF(X30="","확신 비어 있음","")))</f>
        <v/>
      </c>
    </row>
    <row r="31" spans="1:26" ht="18.95" customHeight="1" x14ac:dyDescent="0.3">
      <c r="A31" s="9">
        <v>30</v>
      </c>
      <c r="B31" s="9" t="s">
        <v>222</v>
      </c>
      <c r="C31" s="9" t="s">
        <v>112</v>
      </c>
      <c r="D31" s="9" t="s">
        <v>191</v>
      </c>
      <c r="E31" s="6" t="s">
        <v>127</v>
      </c>
      <c r="F31" s="10" t="s">
        <v>276</v>
      </c>
      <c r="G31" s="10"/>
      <c r="H31" s="10"/>
      <c r="I31" s="10"/>
      <c r="J31" s="10"/>
      <c r="K31" s="10"/>
      <c r="L31" s="10"/>
      <c r="M31" s="10"/>
      <c r="N31" s="10"/>
      <c r="O31" s="10"/>
      <c r="P31" s="10"/>
      <c r="Q31" s="10"/>
      <c r="R31" s="10"/>
      <c r="S31" s="10"/>
      <c r="T31" s="10"/>
      <c r="U31" s="10"/>
      <c r="V31" s="10"/>
      <c r="W31" s="10" t="s">
        <v>74</v>
      </c>
      <c r="X31" s="10" t="s">
        <v>278</v>
      </c>
      <c r="Y31" s="11"/>
      <c r="Z31" s="12" t="str">
        <f>IF(AND(W31="",X31=""),"단계·확신 비어 있음",IF(W31="","단계 비어 있음",IF(X31="","확신 비어 있음","")))</f>
        <v/>
      </c>
    </row>
    <row r="32" spans="1:26" ht="18.95" customHeight="1" x14ac:dyDescent="0.3">
      <c r="A32" s="9">
        <v>31</v>
      </c>
      <c r="B32" s="9" t="s">
        <v>137</v>
      </c>
      <c r="C32" s="9" t="s">
        <v>112</v>
      </c>
      <c r="D32" s="9" t="s">
        <v>191</v>
      </c>
      <c r="E32" s="6" t="s">
        <v>226</v>
      </c>
      <c r="F32" s="10" t="s">
        <v>276</v>
      </c>
      <c r="G32" s="10"/>
      <c r="H32" s="10"/>
      <c r="I32" s="10"/>
      <c r="J32" s="10"/>
      <c r="K32" s="10"/>
      <c r="L32" s="10"/>
      <c r="M32" s="10"/>
      <c r="N32" s="10"/>
      <c r="O32" s="10"/>
      <c r="P32" s="10"/>
      <c r="Q32" s="10"/>
      <c r="R32" s="10"/>
      <c r="S32" s="10"/>
      <c r="T32" s="10"/>
      <c r="U32" s="10"/>
      <c r="V32" s="10"/>
      <c r="W32" s="10" t="s">
        <v>76</v>
      </c>
      <c r="X32" s="10" t="s">
        <v>278</v>
      </c>
      <c r="Y32" s="11"/>
      <c r="Z32" s="12" t="str">
        <f>IF(AND(W32="",X32=""),"단계·확신 비어 있음",IF(W32="","단계 비어 있음",IF(X32="","확신 비어 있음","")))</f>
        <v/>
      </c>
    </row>
    <row r="33" spans="1:26" ht="18.95" customHeight="1" x14ac:dyDescent="0.3">
      <c r="A33" s="9">
        <v>32</v>
      </c>
      <c r="B33" s="9" t="s">
        <v>137</v>
      </c>
      <c r="C33" s="9" t="s">
        <v>112</v>
      </c>
      <c r="D33" s="9" t="s">
        <v>191</v>
      </c>
      <c r="E33" s="6" t="s">
        <v>227</v>
      </c>
      <c r="F33" s="10"/>
      <c r="G33" s="10"/>
      <c r="H33" s="10"/>
      <c r="I33" s="10"/>
      <c r="J33" s="10"/>
      <c r="K33" s="10"/>
      <c r="L33" s="10"/>
      <c r="M33" s="10"/>
      <c r="N33" s="10"/>
      <c r="O33" s="10"/>
      <c r="P33" s="10"/>
      <c r="Q33" s="10"/>
      <c r="R33" s="10"/>
      <c r="S33" s="10"/>
      <c r="T33" s="10"/>
      <c r="U33" s="10" t="s">
        <v>276</v>
      </c>
      <c r="V33" s="10"/>
      <c r="W33" s="10" t="s">
        <v>80</v>
      </c>
      <c r="X33" s="10" t="s">
        <v>278</v>
      </c>
      <c r="Y33" s="11"/>
      <c r="Z33" s="12" t="str">
        <f>IF(AND(W33="",X33=""),"단계·확신 비어 있음",IF(W33="","단계 비어 있음",IF(X33="","확신 비어 있음","")))</f>
        <v/>
      </c>
    </row>
    <row r="34" spans="1:26" ht="18.95" customHeight="1" x14ac:dyDescent="0.3">
      <c r="A34" s="13">
        <v>33</v>
      </c>
      <c r="B34" s="13" t="s">
        <v>137</v>
      </c>
      <c r="C34" s="13" t="s">
        <v>112</v>
      </c>
      <c r="D34" s="13" t="s">
        <v>115</v>
      </c>
      <c r="E34" s="14" t="s">
        <v>228</v>
      </c>
      <c r="F34" s="15"/>
      <c r="G34" s="15"/>
      <c r="H34" s="15"/>
      <c r="I34" s="15"/>
      <c r="J34" s="15"/>
      <c r="K34" s="15"/>
      <c r="L34" s="15"/>
      <c r="M34" s="15"/>
      <c r="N34" s="15"/>
      <c r="O34" s="15"/>
      <c r="P34" s="15"/>
      <c r="Q34" s="15"/>
      <c r="R34" s="15"/>
      <c r="S34" s="15"/>
      <c r="T34" s="15"/>
      <c r="U34" s="15"/>
      <c r="V34" s="15"/>
      <c r="W34" s="15"/>
      <c r="X34" s="15"/>
      <c r="Y34" s="15"/>
      <c r="Z34" s="15"/>
    </row>
    <row r="35" spans="1:26" ht="18.95" customHeight="1" x14ac:dyDescent="0.3">
      <c r="A35" s="13">
        <v>34</v>
      </c>
      <c r="B35" s="13" t="s">
        <v>142</v>
      </c>
      <c r="C35" s="13" t="s">
        <v>112</v>
      </c>
      <c r="D35" s="13" t="s">
        <v>115</v>
      </c>
      <c r="E35" s="14" t="s">
        <v>229</v>
      </c>
      <c r="F35" s="15"/>
      <c r="G35" s="15"/>
      <c r="H35" s="15"/>
      <c r="I35" s="15"/>
      <c r="J35" s="15"/>
      <c r="K35" s="15"/>
      <c r="L35" s="15"/>
      <c r="M35" s="15"/>
      <c r="N35" s="15"/>
      <c r="O35" s="15"/>
      <c r="P35" s="15"/>
      <c r="Q35" s="15"/>
      <c r="R35" s="15"/>
      <c r="S35" s="15"/>
      <c r="T35" s="15"/>
      <c r="U35" s="15"/>
      <c r="V35" s="15"/>
      <c r="W35" s="15"/>
      <c r="X35" s="15"/>
      <c r="Y35" s="15"/>
      <c r="Z35" s="15"/>
    </row>
    <row r="36" spans="1:26" ht="18.95" customHeight="1" x14ac:dyDescent="0.3">
      <c r="A36" s="13">
        <v>35</v>
      </c>
      <c r="B36" s="13" t="s">
        <v>142</v>
      </c>
      <c r="C36" s="13" t="s">
        <v>230</v>
      </c>
      <c r="D36" s="13" t="s">
        <v>115</v>
      </c>
      <c r="E36" s="14" t="s">
        <v>231</v>
      </c>
      <c r="F36" s="15"/>
      <c r="G36" s="15"/>
      <c r="H36" s="15"/>
      <c r="I36" s="15"/>
      <c r="J36" s="15"/>
      <c r="K36" s="15"/>
      <c r="L36" s="15"/>
      <c r="M36" s="15"/>
      <c r="N36" s="15"/>
      <c r="O36" s="15"/>
      <c r="P36" s="15"/>
      <c r="Q36" s="15"/>
      <c r="R36" s="15"/>
      <c r="S36" s="15"/>
      <c r="T36" s="15"/>
      <c r="U36" s="15"/>
      <c r="V36" s="15"/>
      <c r="W36" s="15"/>
      <c r="X36" s="15"/>
      <c r="Y36" s="15"/>
      <c r="Z36" s="15"/>
    </row>
    <row r="37" spans="1:26" ht="33.950000000000003" customHeight="1" x14ac:dyDescent="0.3">
      <c r="A37" s="9">
        <v>36</v>
      </c>
      <c r="B37" s="9" t="s">
        <v>142</v>
      </c>
      <c r="C37" s="9" t="s">
        <v>230</v>
      </c>
      <c r="D37" s="9" t="s">
        <v>232</v>
      </c>
      <c r="E37" s="6" t="s">
        <v>233</v>
      </c>
      <c r="F37" s="10"/>
      <c r="G37" s="10"/>
      <c r="H37" s="10"/>
      <c r="I37" s="10"/>
      <c r="J37" s="10"/>
      <c r="K37" s="10"/>
      <c r="L37" s="10" t="s">
        <v>276</v>
      </c>
      <c r="M37" s="10"/>
      <c r="N37" s="10"/>
      <c r="O37" s="10"/>
      <c r="P37" s="10"/>
      <c r="Q37" s="10"/>
      <c r="R37" s="10"/>
      <c r="S37" s="10"/>
      <c r="T37" s="10"/>
      <c r="U37" s="10"/>
      <c r="V37" s="10"/>
      <c r="W37" s="10" t="s">
        <v>80</v>
      </c>
      <c r="X37" s="10" t="s">
        <v>278</v>
      </c>
      <c r="Y37" s="11"/>
      <c r="Z37" s="12" t="str">
        <f>IF(AND(W37="",X37=""),"단계·확신 비어 있음",IF(W37="","단계 비어 있음",IF(X37="","확신 비어 있음","")))</f>
        <v/>
      </c>
    </row>
    <row r="38" spans="1:26" ht="18.95" customHeight="1" x14ac:dyDescent="0.3">
      <c r="A38" s="13">
        <v>37</v>
      </c>
      <c r="B38" s="13" t="s">
        <v>142</v>
      </c>
      <c r="C38" s="13" t="s">
        <v>230</v>
      </c>
      <c r="D38" s="13" t="s">
        <v>115</v>
      </c>
      <c r="E38" s="14" t="s">
        <v>234</v>
      </c>
      <c r="F38" s="15"/>
      <c r="G38" s="15"/>
      <c r="H38" s="15"/>
      <c r="I38" s="15"/>
      <c r="J38" s="15"/>
      <c r="K38" s="15"/>
      <c r="L38" s="15"/>
      <c r="M38" s="15"/>
      <c r="N38" s="15"/>
      <c r="O38" s="15"/>
      <c r="P38" s="15"/>
      <c r="Q38" s="15"/>
      <c r="R38" s="15"/>
      <c r="S38" s="15"/>
      <c r="T38" s="15"/>
      <c r="U38" s="15"/>
      <c r="V38" s="15"/>
      <c r="W38" s="15"/>
      <c r="X38" s="15"/>
      <c r="Y38" s="15"/>
      <c r="Z38" s="15"/>
    </row>
  </sheetData>
  <sheetProtection sheet="1" formatColumns="0" formatRows="0"/>
  <phoneticPr fontId="6" type="noConversion"/>
  <conditionalFormatting sqref="F2:V38">
    <cfRule type="expression" dxfId="1" priority="1">
      <formula>F2="●"</formula>
    </cfRule>
  </conditionalFormatting>
  <dataValidations count="3">
    <dataValidation type="list" allowBlank="1" errorTitle="고르기만 가능" error="드롭다운에서 ●를 고르거나 Delete로 지우세요." sqref="F2 F3 F4 F5 F6 F7 F8 F9 F11 F13 F14 F15 F16 F17 F18 F19 F20 F21 F23 F24 F25 F26 F27 F28 F30 F31 F32 F33 F37 G2 G3 G4 G5 G6 G7 G8 G9 G11 G13 G14 G15 G16 G17 G18 G19 G20 G21 G23 G24 G25 G26 G27 G28 G30 G31 G32 G33 G37 H2 H3 H4 H5 H6 H7 H8 H9 H11 H13 H14 H15 H16 H17 H18 H19 H20 H21 H23 H24 H25 H26 H27 H28 H30 H31 H32 H33 H37 I2 I3 I4 I5 I6 I7 I8 I9 I11 I13 I14 I15 I16 I17 I18 I19 I20 I21 I23 I24 I25 I26 I27 I28 I30 I31 I32 I33 I37 J2 J3 J4 J5 J6 J7 J8 J9 J11 J13 J14 J15 J16 J17 J18 J19 J20 J21 J23 J24 J25 J26 J27 J28 J30 J31 J32 J33 J37 K2 K3 K4 K5 K6 K7 K8 K9 K11 K13 K14 K15 K16 K17 K18 K19 K20 K21 K23 K24 K25 K26 K27 K28 K30 K31 K32 K33 K37 L2 L3 L4 L5 L6 L7 L8 L9 L11 L13 L14 L15 L16 L17 L18 L19 L20 L21 L23 L24 L25 L26 L27 L28 L30 L31 L32 L33 L37 M2 M3 M4 M5 M6 M7 M8 M9 M11 M13 M14 M15 M16 M17 M18 M19 M20 M21 M23 M24 M25 M26 M27 M28 M30 M31 M32 M33 M37 N2 N3 N4 N5 N6 N7 N8 N9 N11 N13 N14 N15 N16 N17 N18 N19 N20 N21 N23 N24 N25 N26 N27 N28 N30 N31 N32 N33 N37 O2 O3 O4 O5 O6 O7 O8 O9 O11 O13 O14 O15 O16 O17 O18 O19 O20 O21 O23 O24 O25 O26 O27 O28 O30 O31 O32 O33 O37 P2 P3 P4 P5 P6 P7 P8 P9 P11 P13 P14 P15 P16 P17 P18 P19 P20 P21 P23 P24 P25 P26 P27 P28 P30 P31 P32 P33 P37 Q2 Q3 Q4 Q5 Q6 Q7 Q8 Q9 Q11 Q13 Q14 Q15 Q16 Q17 Q18 Q19 Q20 Q21 Q23 Q24 Q25 Q26 Q27 Q28 Q30 Q31 Q32 Q33 Q37 R2 R3 R4 R5 R6 R7 R8 R9 R11 R13 R14 R15 R16 R17 R18 R19 R20 R21 R23 R24 R25 R26 R27 R28 R30 R31 R32 R33 R37 S2 S3 S4 S5 S6 S7 S8 S9 S11 S13 S14 S15 S16 S17 S18 S19 S20 S21 S23 S24 S25 S26 S27 S28 S30 S31 S32 S33 S37 T2 T3 T4 T5 T6 T7 T8 T9 T11 T13 T14 T15 T16 T17 T18 T19 T20 T21 T23 T24 T25 T26 T27 T28 T30 T31 T32 T33 T37 U2 U3 U4 U5 U6 U7 U8 U9 U11 U13 U14 U15 U16 U17 U18 U19 U20 U21 U23 U24 U25 U26 U27 U28 U30 U31 U32 U33 U37 V2 V3 V4 V5 V6 V7 V8 V9 V11 V13 V14 V15 V16 V17 V18 V19 V20 V21 V23 V24 V25 V26 V27 V28 V30 V31 V32 V33 V37" xr:uid="{00000000-0002-0000-0500-000000000000}">
      <formula1>"●"</formula1>
    </dataValidation>
    <dataValidation type="list" allowBlank="1" errorTitle="단계" error="드롭다운에서 단계를 고르세요." sqref="W2 W3 W4 W5 W6 W7 W8 W9 W11 W13 W14 W15 W16 W17 W18 W19 W20 W21 W23 W24 W25 W26 W27 W28 W30 W31 W32 W33 W37" xr:uid="{00000000-0002-0000-0500-000001000000}">
      <formula1>"접근,신뢰,유도,요구,추가요구,분류불가"</formula1>
    </dataValidation>
    <dataValidation type="list" allowBlank="1" errorTitle="확신" error="높음 또는 낮음을 고르세요." sqref="X2 X3 X4 X5 X6 X7 X8 X9 X11 X13 X14 X15 X16 X17 X18 X19 X20 X21 X23 X24 X25 X26 X27 X28 X30 X31 X32 X33 X37" xr:uid="{00000000-0002-0000-0500-000002000000}">
      <formula1>"높음,낮음"</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2"/>
  <sheetViews>
    <sheetView workbookViewId="0">
      <pane xSplit="5" ySplit="1" topLeftCell="F2" activePane="bottomRight" state="frozen"/>
      <selection pane="topRight"/>
      <selection pane="bottomLeft"/>
      <selection pane="bottomRight" activeCell="X2" sqref="X2"/>
    </sheetView>
  </sheetViews>
  <sheetFormatPr defaultRowHeight="16.5" x14ac:dyDescent="0.3"/>
  <cols>
    <col min="1" max="1" width="5" customWidth="1"/>
    <col min="2" max="2" width="6" customWidth="1"/>
    <col min="3" max="3" width="11" customWidth="1"/>
    <col min="4" max="4" width="12" customWidth="1"/>
    <col min="5" max="5" width="58" customWidth="1"/>
    <col min="6" max="22" width="7" customWidth="1"/>
    <col min="23" max="23" width="10" customWidth="1"/>
    <col min="24" max="24" width="7" customWidth="1"/>
    <col min="25" max="25" width="30" customWidth="1"/>
    <col min="26" max="26" width="14" customWidth="1"/>
  </cols>
  <sheetData>
    <row r="1" spans="1:26" ht="45.95" customHeight="1" x14ac:dyDescent="0.3">
      <c r="A1" s="8" t="s">
        <v>85</v>
      </c>
      <c r="B1" s="8" t="s">
        <v>86</v>
      </c>
      <c r="C1" s="8" t="s">
        <v>87</v>
      </c>
      <c r="D1" s="8" t="s">
        <v>88</v>
      </c>
      <c r="E1" s="8" t="s">
        <v>89</v>
      </c>
      <c r="F1" s="8" t="s">
        <v>90</v>
      </c>
      <c r="G1" s="8" t="s">
        <v>91</v>
      </c>
      <c r="H1" s="8" t="s">
        <v>92</v>
      </c>
      <c r="I1" s="8" t="s">
        <v>93</v>
      </c>
      <c r="J1" s="8" t="s">
        <v>94</v>
      </c>
      <c r="K1" s="8" t="s">
        <v>95</v>
      </c>
      <c r="L1" s="8" t="s">
        <v>96</v>
      </c>
      <c r="M1" s="8" t="s">
        <v>97</v>
      </c>
      <c r="N1" s="8" t="s">
        <v>98</v>
      </c>
      <c r="O1" s="8" t="s">
        <v>99</v>
      </c>
      <c r="P1" s="8" t="s">
        <v>100</v>
      </c>
      <c r="Q1" s="8" t="s">
        <v>101</v>
      </c>
      <c r="R1" s="8" t="s">
        <v>102</v>
      </c>
      <c r="S1" s="8" t="s">
        <v>103</v>
      </c>
      <c r="T1" s="8" t="s">
        <v>104</v>
      </c>
      <c r="U1" s="8" t="s">
        <v>105</v>
      </c>
      <c r="V1" s="8" t="s">
        <v>106</v>
      </c>
      <c r="W1" s="8" t="s">
        <v>107</v>
      </c>
      <c r="X1" s="8" t="s">
        <v>108</v>
      </c>
      <c r="Y1" s="8" t="s">
        <v>109</v>
      </c>
      <c r="Z1" s="8" t="s">
        <v>110</v>
      </c>
    </row>
    <row r="2" spans="1:26" ht="18.95" customHeight="1" x14ac:dyDescent="0.3">
      <c r="A2" s="9">
        <v>1</v>
      </c>
      <c r="B2" s="9" t="s">
        <v>111</v>
      </c>
      <c r="C2" s="9" t="s">
        <v>112</v>
      </c>
      <c r="D2" s="9" t="s">
        <v>113</v>
      </c>
      <c r="E2" s="6" t="s">
        <v>235</v>
      </c>
      <c r="F2" s="10"/>
      <c r="G2" s="10"/>
      <c r="H2" s="10"/>
      <c r="I2" s="10"/>
      <c r="J2" s="10"/>
      <c r="K2" s="10"/>
      <c r="L2" s="10"/>
      <c r="M2" s="10"/>
      <c r="N2" s="10"/>
      <c r="O2" s="10"/>
      <c r="P2" s="10"/>
      <c r="Q2" s="10"/>
      <c r="R2" s="10"/>
      <c r="S2" s="10"/>
      <c r="T2" s="10"/>
      <c r="U2" s="10"/>
      <c r="V2" s="10"/>
      <c r="W2" s="10" t="s">
        <v>72</v>
      </c>
      <c r="X2" s="10" t="s">
        <v>278</v>
      </c>
      <c r="Y2" s="11"/>
      <c r="Z2" s="12" t="str">
        <f>IF(AND(W2="",X2=""),"단계·확신 비어 있음",IF(W2="","단계 비어 있음",IF(X2="","확신 비어 있음","")))</f>
        <v/>
      </c>
    </row>
    <row r="3" spans="1:26" ht="18.95" customHeight="1" x14ac:dyDescent="0.3">
      <c r="A3" s="13">
        <v>2</v>
      </c>
      <c r="B3" s="13" t="s">
        <v>111</v>
      </c>
      <c r="C3" s="13" t="s">
        <v>112</v>
      </c>
      <c r="D3" s="13" t="s">
        <v>115</v>
      </c>
      <c r="E3" s="14" t="s">
        <v>236</v>
      </c>
      <c r="F3" s="15"/>
      <c r="G3" s="15"/>
      <c r="H3" s="15"/>
      <c r="I3" s="15"/>
      <c r="J3" s="15"/>
      <c r="K3" s="15"/>
      <c r="L3" s="15"/>
      <c r="M3" s="15"/>
      <c r="N3" s="15"/>
      <c r="O3" s="15"/>
      <c r="P3" s="15"/>
      <c r="Q3" s="15"/>
      <c r="R3" s="15"/>
      <c r="S3" s="15"/>
      <c r="T3" s="15"/>
      <c r="U3" s="15"/>
      <c r="V3" s="15"/>
      <c r="W3" s="15"/>
      <c r="X3" s="15"/>
      <c r="Y3" s="15"/>
      <c r="Z3" s="15"/>
    </row>
    <row r="4" spans="1:26" ht="33.950000000000003" customHeight="1" x14ac:dyDescent="0.3">
      <c r="A4" s="9">
        <v>3</v>
      </c>
      <c r="B4" s="9" t="s">
        <v>237</v>
      </c>
      <c r="C4" s="9" t="s">
        <v>112</v>
      </c>
      <c r="D4" s="9" t="s">
        <v>113</v>
      </c>
      <c r="E4" s="6" t="s">
        <v>238</v>
      </c>
      <c r="F4" s="10"/>
      <c r="G4" s="10"/>
      <c r="H4" s="10"/>
      <c r="I4" s="10"/>
      <c r="J4" s="10"/>
      <c r="K4" s="10"/>
      <c r="L4" s="10"/>
      <c r="M4" s="10"/>
      <c r="N4" s="10"/>
      <c r="O4" s="10"/>
      <c r="P4" s="10"/>
      <c r="Q4" s="10"/>
      <c r="R4" s="10"/>
      <c r="S4" s="10"/>
      <c r="T4" s="10" t="s">
        <v>276</v>
      </c>
      <c r="U4" s="10"/>
      <c r="V4" s="10"/>
      <c r="W4" s="10" t="s">
        <v>76</v>
      </c>
      <c r="X4" s="10" t="s">
        <v>278</v>
      </c>
      <c r="Y4" s="11"/>
      <c r="Z4" s="12" t="str">
        <f>IF(AND(W4="",X4=""),"단계·확신 비어 있음",IF(W4="","단계 비어 있음",IF(X4="","확신 비어 있음","")))</f>
        <v/>
      </c>
    </row>
    <row r="5" spans="1:26" ht="18.95" customHeight="1" x14ac:dyDescent="0.3">
      <c r="A5" s="13">
        <v>4</v>
      </c>
      <c r="B5" s="13" t="s">
        <v>237</v>
      </c>
      <c r="C5" s="13" t="s">
        <v>112</v>
      </c>
      <c r="D5" s="13" t="s">
        <v>115</v>
      </c>
      <c r="E5" s="14" t="s">
        <v>239</v>
      </c>
      <c r="F5" s="15"/>
      <c r="G5" s="15"/>
      <c r="H5" s="15"/>
      <c r="I5" s="15"/>
      <c r="J5" s="15"/>
      <c r="K5" s="15"/>
      <c r="L5" s="15"/>
      <c r="M5" s="15"/>
      <c r="N5" s="15"/>
      <c r="O5" s="15"/>
      <c r="P5" s="15"/>
      <c r="Q5" s="15"/>
      <c r="R5" s="15"/>
      <c r="S5" s="15"/>
      <c r="T5" s="15"/>
      <c r="U5" s="15"/>
      <c r="V5" s="15"/>
      <c r="W5" s="15"/>
      <c r="X5" s="15"/>
      <c r="Y5" s="15"/>
      <c r="Z5" s="15"/>
    </row>
    <row r="6" spans="1:26" ht="18.95" customHeight="1" x14ac:dyDescent="0.3">
      <c r="A6" s="9">
        <v>5</v>
      </c>
      <c r="B6" s="9" t="s">
        <v>240</v>
      </c>
      <c r="C6" s="9" t="s">
        <v>112</v>
      </c>
      <c r="D6" s="9" t="s">
        <v>113</v>
      </c>
      <c r="E6" s="6" t="s">
        <v>241</v>
      </c>
      <c r="F6" s="10"/>
      <c r="G6" s="10"/>
      <c r="H6" s="10"/>
      <c r="I6" s="10"/>
      <c r="J6" s="10"/>
      <c r="K6" s="10"/>
      <c r="L6" s="10"/>
      <c r="M6" s="10"/>
      <c r="N6" s="10"/>
      <c r="O6" s="10"/>
      <c r="P6" s="10"/>
      <c r="Q6" s="10"/>
      <c r="R6" s="10"/>
      <c r="S6" s="10"/>
      <c r="T6" s="10"/>
      <c r="U6" s="10"/>
      <c r="V6" s="10"/>
      <c r="W6" s="10" t="s">
        <v>76</v>
      </c>
      <c r="X6" s="10" t="s">
        <v>278</v>
      </c>
      <c r="Y6" s="11"/>
      <c r="Z6" s="12" t="str">
        <f>IF(AND(W6="",X6=""),"단계·확신 비어 있음",IF(W6="","단계 비어 있음",IF(X6="","확신 비어 있음","")))</f>
        <v/>
      </c>
    </row>
    <row r="7" spans="1:26" ht="18.95" customHeight="1" x14ac:dyDescent="0.3">
      <c r="A7" s="13">
        <v>6</v>
      </c>
      <c r="B7" s="13" t="s">
        <v>117</v>
      </c>
      <c r="C7" s="13" t="s">
        <v>112</v>
      </c>
      <c r="D7" s="13" t="s">
        <v>115</v>
      </c>
      <c r="E7" s="14" t="s">
        <v>242</v>
      </c>
      <c r="F7" s="15"/>
      <c r="G7" s="15"/>
      <c r="H7" s="15"/>
      <c r="I7" s="15"/>
      <c r="J7" s="15"/>
      <c r="K7" s="15"/>
      <c r="L7" s="15"/>
      <c r="M7" s="15"/>
      <c r="N7" s="15"/>
      <c r="O7" s="15"/>
      <c r="P7" s="15"/>
      <c r="Q7" s="15"/>
      <c r="R7" s="15"/>
      <c r="S7" s="15"/>
      <c r="T7" s="15"/>
      <c r="U7" s="15"/>
      <c r="V7" s="15"/>
      <c r="W7" s="15"/>
      <c r="X7" s="15"/>
      <c r="Y7" s="15"/>
      <c r="Z7" s="15"/>
    </row>
    <row r="8" spans="1:26" ht="18.95" customHeight="1" x14ac:dyDescent="0.3">
      <c r="A8" s="9">
        <v>7</v>
      </c>
      <c r="B8" s="9" t="s">
        <v>117</v>
      </c>
      <c r="C8" s="9" t="s">
        <v>112</v>
      </c>
      <c r="D8" s="9" t="s">
        <v>113</v>
      </c>
      <c r="E8" s="6" t="s">
        <v>243</v>
      </c>
      <c r="F8" s="10"/>
      <c r="G8" s="10"/>
      <c r="H8" s="10"/>
      <c r="I8" s="10" t="s">
        <v>276</v>
      </c>
      <c r="J8" s="10"/>
      <c r="K8" s="10"/>
      <c r="L8" s="10"/>
      <c r="M8" s="10"/>
      <c r="N8" s="10"/>
      <c r="O8" s="10"/>
      <c r="P8" s="10"/>
      <c r="Q8" s="10"/>
      <c r="R8" s="10"/>
      <c r="S8" s="10"/>
      <c r="T8" s="10"/>
      <c r="U8" s="10"/>
      <c r="V8" s="10"/>
      <c r="W8" s="10" t="s">
        <v>78</v>
      </c>
      <c r="X8" s="10" t="s">
        <v>278</v>
      </c>
      <c r="Y8" s="11"/>
      <c r="Z8" s="12" t="str">
        <f t="shared" ref="Z8:Z14" si="0">IF(AND(W8="",X8=""),"단계·확신 비어 있음",IF(W8="","단계 비어 있음",IF(X8="","확신 비어 있음","")))</f>
        <v/>
      </c>
    </row>
    <row r="9" spans="1:26" ht="33.950000000000003" customHeight="1" x14ac:dyDescent="0.3">
      <c r="A9" s="9">
        <v>8</v>
      </c>
      <c r="B9" s="9" t="s">
        <v>117</v>
      </c>
      <c r="C9" s="9" t="s">
        <v>112</v>
      </c>
      <c r="D9" s="9" t="s">
        <v>113</v>
      </c>
      <c r="E9" s="6" t="s">
        <v>244</v>
      </c>
      <c r="F9" s="10"/>
      <c r="G9" s="10"/>
      <c r="H9" s="10"/>
      <c r="I9" s="10" t="s">
        <v>276</v>
      </c>
      <c r="J9" s="10"/>
      <c r="K9" s="10"/>
      <c r="L9" s="10"/>
      <c r="M9" s="10"/>
      <c r="N9" s="10"/>
      <c r="O9" s="10"/>
      <c r="P9" s="10"/>
      <c r="Q9" s="10"/>
      <c r="R9" s="10"/>
      <c r="S9" s="10"/>
      <c r="T9" s="10"/>
      <c r="U9" s="10"/>
      <c r="V9" s="10"/>
      <c r="W9" s="10" t="s">
        <v>80</v>
      </c>
      <c r="X9" s="10" t="s">
        <v>278</v>
      </c>
      <c r="Y9" s="11"/>
      <c r="Z9" s="12" t="str">
        <f t="shared" si="0"/>
        <v/>
      </c>
    </row>
    <row r="10" spans="1:26" ht="18.95" customHeight="1" x14ac:dyDescent="0.3">
      <c r="A10" s="9">
        <v>9</v>
      </c>
      <c r="B10" s="9" t="s">
        <v>120</v>
      </c>
      <c r="C10" s="9" t="s">
        <v>112</v>
      </c>
      <c r="D10" s="9" t="s">
        <v>113</v>
      </c>
      <c r="E10" s="6" t="s">
        <v>245</v>
      </c>
      <c r="F10" s="10"/>
      <c r="G10" s="10" t="s">
        <v>276</v>
      </c>
      <c r="H10" s="10"/>
      <c r="I10" s="10"/>
      <c r="J10" s="10"/>
      <c r="K10" s="10"/>
      <c r="L10" s="10"/>
      <c r="M10" s="10"/>
      <c r="N10" s="10"/>
      <c r="O10" s="10"/>
      <c r="P10" s="10"/>
      <c r="Q10" s="10"/>
      <c r="R10" s="10"/>
      <c r="S10" s="10"/>
      <c r="T10" s="10"/>
      <c r="U10" s="10"/>
      <c r="V10" s="10"/>
      <c r="W10" s="10" t="s">
        <v>74</v>
      </c>
      <c r="X10" s="10" t="s">
        <v>278</v>
      </c>
      <c r="Y10" s="11"/>
      <c r="Z10" s="12" t="str">
        <f t="shared" si="0"/>
        <v/>
      </c>
    </row>
    <row r="11" spans="1:26" ht="18.95" customHeight="1" x14ac:dyDescent="0.3">
      <c r="A11" s="9">
        <v>10</v>
      </c>
      <c r="B11" s="9" t="s">
        <v>120</v>
      </c>
      <c r="C11" s="9" t="s">
        <v>112</v>
      </c>
      <c r="D11" s="9" t="s">
        <v>113</v>
      </c>
      <c r="E11" s="6" t="s">
        <v>127</v>
      </c>
      <c r="F11" s="10"/>
      <c r="G11" s="10" t="s">
        <v>276</v>
      </c>
      <c r="H11" s="10"/>
      <c r="I11" s="10"/>
      <c r="J11" s="10"/>
      <c r="K11" s="10"/>
      <c r="L11" s="10"/>
      <c r="M11" s="10"/>
      <c r="N11" s="10"/>
      <c r="O11" s="10"/>
      <c r="P11" s="10"/>
      <c r="Q11" s="10"/>
      <c r="R11" s="10"/>
      <c r="S11" s="10"/>
      <c r="T11" s="10"/>
      <c r="U11" s="10"/>
      <c r="V11" s="10"/>
      <c r="W11" s="10" t="s">
        <v>74</v>
      </c>
      <c r="X11" s="10" t="s">
        <v>278</v>
      </c>
      <c r="Y11" s="11"/>
      <c r="Z11" s="12" t="str">
        <f t="shared" si="0"/>
        <v/>
      </c>
    </row>
    <row r="12" spans="1:26" ht="18.95" customHeight="1" x14ac:dyDescent="0.3">
      <c r="A12" s="9">
        <v>11</v>
      </c>
      <c r="B12" s="9" t="s">
        <v>246</v>
      </c>
      <c r="C12" s="9" t="s">
        <v>112</v>
      </c>
      <c r="D12" s="9" t="s">
        <v>113</v>
      </c>
      <c r="E12" s="6" t="s">
        <v>247</v>
      </c>
      <c r="F12" s="10"/>
      <c r="G12" s="10" t="s">
        <v>276</v>
      </c>
      <c r="H12" s="10"/>
      <c r="I12" s="10"/>
      <c r="J12" s="10"/>
      <c r="K12" s="10"/>
      <c r="L12" s="10"/>
      <c r="M12" s="10"/>
      <c r="N12" s="10"/>
      <c r="O12" s="10"/>
      <c r="P12" s="10"/>
      <c r="Q12" s="10"/>
      <c r="R12" s="10"/>
      <c r="S12" s="10"/>
      <c r="T12" s="10"/>
      <c r="U12" s="10"/>
      <c r="V12" s="10"/>
      <c r="W12" s="10" t="s">
        <v>74</v>
      </c>
      <c r="X12" s="10" t="s">
        <v>278</v>
      </c>
      <c r="Y12" s="11"/>
      <c r="Z12" s="12" t="str">
        <f t="shared" si="0"/>
        <v/>
      </c>
    </row>
    <row r="13" spans="1:26" ht="18.95" customHeight="1" x14ac:dyDescent="0.3">
      <c r="A13" s="9">
        <v>12</v>
      </c>
      <c r="B13" s="9" t="s">
        <v>246</v>
      </c>
      <c r="C13" s="9" t="s">
        <v>112</v>
      </c>
      <c r="D13" s="9" t="s">
        <v>113</v>
      </c>
      <c r="E13" s="6" t="s">
        <v>127</v>
      </c>
      <c r="F13" s="10"/>
      <c r="G13" s="10" t="s">
        <v>276</v>
      </c>
      <c r="H13" s="10"/>
      <c r="I13" s="10"/>
      <c r="J13" s="10"/>
      <c r="K13" s="10"/>
      <c r="L13" s="10"/>
      <c r="M13" s="10"/>
      <c r="N13" s="10"/>
      <c r="O13" s="10"/>
      <c r="P13" s="10"/>
      <c r="Q13" s="10"/>
      <c r="R13" s="10"/>
      <c r="S13" s="10"/>
      <c r="T13" s="10"/>
      <c r="U13" s="10"/>
      <c r="V13" s="10"/>
      <c r="W13" s="10" t="s">
        <v>74</v>
      </c>
      <c r="X13" s="10" t="s">
        <v>278</v>
      </c>
      <c r="Y13" s="11"/>
      <c r="Z13" s="12" t="str">
        <f t="shared" si="0"/>
        <v/>
      </c>
    </row>
    <row r="14" spans="1:26" ht="33.950000000000003" customHeight="1" x14ac:dyDescent="0.3">
      <c r="A14" s="9">
        <v>13</v>
      </c>
      <c r="B14" s="9" t="s">
        <v>159</v>
      </c>
      <c r="C14" s="9" t="s">
        <v>112</v>
      </c>
      <c r="D14" s="9" t="s">
        <v>113</v>
      </c>
      <c r="E14" s="6" t="s">
        <v>248</v>
      </c>
      <c r="F14" s="10"/>
      <c r="G14" s="10"/>
      <c r="H14" s="10"/>
      <c r="I14" s="10"/>
      <c r="J14" s="10"/>
      <c r="K14" s="10"/>
      <c r="L14" s="10"/>
      <c r="M14" s="10"/>
      <c r="N14" s="10"/>
      <c r="O14" s="10" t="s">
        <v>276</v>
      </c>
      <c r="P14" s="10"/>
      <c r="Q14" s="10"/>
      <c r="R14" s="10"/>
      <c r="S14" s="10"/>
      <c r="T14" s="10"/>
      <c r="U14" s="10"/>
      <c r="V14" s="10"/>
      <c r="W14" s="10" t="s">
        <v>80</v>
      </c>
      <c r="X14" s="10" t="s">
        <v>278</v>
      </c>
      <c r="Y14" s="11"/>
      <c r="Z14" s="12" t="str">
        <f t="shared" si="0"/>
        <v/>
      </c>
    </row>
    <row r="15" spans="1:26" ht="18.95" customHeight="1" x14ac:dyDescent="0.3">
      <c r="A15" s="13">
        <v>14</v>
      </c>
      <c r="B15" s="13" t="s">
        <v>159</v>
      </c>
      <c r="C15" s="13" t="s">
        <v>112</v>
      </c>
      <c r="D15" s="13" t="s">
        <v>115</v>
      </c>
      <c r="E15" s="14" t="s">
        <v>249</v>
      </c>
      <c r="F15" s="15"/>
      <c r="G15" s="15"/>
      <c r="H15" s="15"/>
      <c r="I15" s="15"/>
      <c r="J15" s="15"/>
      <c r="K15" s="15"/>
      <c r="L15" s="15"/>
      <c r="M15" s="15"/>
      <c r="N15" s="15"/>
      <c r="O15" s="15"/>
      <c r="P15" s="15"/>
      <c r="Q15" s="15"/>
      <c r="R15" s="15"/>
      <c r="S15" s="15"/>
      <c r="T15" s="15"/>
      <c r="U15" s="15"/>
      <c r="V15" s="15"/>
      <c r="W15" s="15"/>
      <c r="X15" s="15"/>
      <c r="Y15" s="15"/>
      <c r="Z15" s="15"/>
    </row>
    <row r="16" spans="1:26" ht="18.95" customHeight="1" x14ac:dyDescent="0.3">
      <c r="A16" s="9">
        <v>15</v>
      </c>
      <c r="B16" s="9" t="s">
        <v>159</v>
      </c>
      <c r="C16" s="9" t="s">
        <v>112</v>
      </c>
      <c r="D16" s="9" t="s">
        <v>113</v>
      </c>
      <c r="E16" s="6" t="s">
        <v>250</v>
      </c>
      <c r="F16" s="10"/>
      <c r="G16" s="10"/>
      <c r="H16" s="10"/>
      <c r="I16" s="10"/>
      <c r="J16" s="10"/>
      <c r="K16" s="10"/>
      <c r="L16" s="10"/>
      <c r="M16" s="10"/>
      <c r="N16" s="10"/>
      <c r="O16" s="10"/>
      <c r="P16" s="10"/>
      <c r="Q16" s="10"/>
      <c r="R16" s="10"/>
      <c r="S16" s="10"/>
      <c r="T16" s="10"/>
      <c r="U16" s="10"/>
      <c r="V16" s="10"/>
      <c r="W16" s="10" t="s">
        <v>74</v>
      </c>
      <c r="X16" s="10" t="s">
        <v>278</v>
      </c>
      <c r="Y16" s="11"/>
      <c r="Z16" s="12" t="str">
        <f>IF(AND(W16="",X16=""),"단계·확신 비어 있음",IF(W16="","단계 비어 있음",IF(X16="","확신 비어 있음","")))</f>
        <v/>
      </c>
    </row>
    <row r="17" spans="1:26" ht="18.95" customHeight="1" x14ac:dyDescent="0.3">
      <c r="A17" s="13">
        <v>16</v>
      </c>
      <c r="B17" s="13" t="s">
        <v>251</v>
      </c>
      <c r="C17" s="13" t="s">
        <v>112</v>
      </c>
      <c r="D17" s="13" t="s">
        <v>115</v>
      </c>
      <c r="E17" s="14" t="s">
        <v>252</v>
      </c>
      <c r="F17" s="15"/>
      <c r="G17" s="15"/>
      <c r="H17" s="15"/>
      <c r="I17" s="15"/>
      <c r="J17" s="15"/>
      <c r="K17" s="15"/>
      <c r="L17" s="15"/>
      <c r="M17" s="15"/>
      <c r="N17" s="15"/>
      <c r="O17" s="15"/>
      <c r="P17" s="15"/>
      <c r="Q17" s="15"/>
      <c r="R17" s="15"/>
      <c r="S17" s="15"/>
      <c r="T17" s="15"/>
      <c r="U17" s="15"/>
      <c r="V17" s="15"/>
      <c r="W17" s="15"/>
      <c r="X17" s="15"/>
      <c r="Y17" s="15"/>
      <c r="Z17" s="15"/>
    </row>
    <row r="18" spans="1:26" ht="18.95" customHeight="1" x14ac:dyDescent="0.3">
      <c r="A18" s="9">
        <v>17</v>
      </c>
      <c r="B18" s="9" t="s">
        <v>251</v>
      </c>
      <c r="C18" s="9" t="s">
        <v>112</v>
      </c>
      <c r="D18" s="9" t="s">
        <v>113</v>
      </c>
      <c r="E18" s="6" t="s">
        <v>253</v>
      </c>
      <c r="F18" s="10"/>
      <c r="G18" s="10"/>
      <c r="H18" s="10"/>
      <c r="I18" s="10"/>
      <c r="J18" s="10"/>
      <c r="K18" s="10"/>
      <c r="L18" s="10"/>
      <c r="M18" s="10"/>
      <c r="N18" s="10"/>
      <c r="O18" s="10"/>
      <c r="P18" s="10"/>
      <c r="Q18" s="10"/>
      <c r="R18" s="10"/>
      <c r="S18" s="10"/>
      <c r="T18" s="10"/>
      <c r="U18" s="10"/>
      <c r="V18" s="10"/>
      <c r="W18" s="10" t="s">
        <v>74</v>
      </c>
      <c r="X18" s="10" t="s">
        <v>278</v>
      </c>
      <c r="Y18" s="11"/>
      <c r="Z18" s="12" t="str">
        <f>IF(AND(W18="",X18=""),"단계·확신 비어 있음",IF(W18="","단계 비어 있음",IF(X18="","확신 비어 있음","")))</f>
        <v/>
      </c>
    </row>
    <row r="19" spans="1:26" ht="18.95" customHeight="1" x14ac:dyDescent="0.3">
      <c r="A19" s="9">
        <v>18</v>
      </c>
      <c r="B19" s="9" t="s">
        <v>204</v>
      </c>
      <c r="C19" s="9" t="s">
        <v>112</v>
      </c>
      <c r="D19" s="9" t="s">
        <v>113</v>
      </c>
      <c r="E19" s="6" t="s">
        <v>254</v>
      </c>
      <c r="F19" s="10"/>
      <c r="G19" s="10"/>
      <c r="H19" s="10"/>
      <c r="I19" s="10"/>
      <c r="J19" s="10"/>
      <c r="K19" s="10"/>
      <c r="L19" s="10"/>
      <c r="M19" s="10"/>
      <c r="N19" s="10"/>
      <c r="O19" s="10"/>
      <c r="P19" s="10"/>
      <c r="Q19" s="10"/>
      <c r="R19" s="10"/>
      <c r="S19" s="10"/>
      <c r="T19" s="10"/>
      <c r="U19" s="10"/>
      <c r="V19" s="10"/>
      <c r="W19" s="10" t="s">
        <v>74</v>
      </c>
      <c r="X19" s="10" t="s">
        <v>278</v>
      </c>
      <c r="Y19" s="11"/>
      <c r="Z19" s="12" t="str">
        <f>IF(AND(W19="",X19=""),"단계·확신 비어 있음",IF(W19="","단계 비어 있음",IF(X19="","확신 비어 있음","")))</f>
        <v/>
      </c>
    </row>
    <row r="20" spans="1:26" ht="18.95" customHeight="1" x14ac:dyDescent="0.3">
      <c r="A20" s="9">
        <v>19</v>
      </c>
      <c r="B20" s="9" t="s">
        <v>204</v>
      </c>
      <c r="C20" s="9" t="s">
        <v>112</v>
      </c>
      <c r="D20" s="9" t="s">
        <v>113</v>
      </c>
      <c r="E20" s="6" t="s">
        <v>255</v>
      </c>
      <c r="F20" s="10"/>
      <c r="G20" s="10"/>
      <c r="H20" s="10"/>
      <c r="I20" s="10"/>
      <c r="J20" s="10"/>
      <c r="K20" s="10"/>
      <c r="L20" s="10"/>
      <c r="M20" s="10"/>
      <c r="N20" s="10"/>
      <c r="O20" s="10"/>
      <c r="P20" s="10"/>
      <c r="Q20" s="10"/>
      <c r="R20" s="10"/>
      <c r="S20" s="10"/>
      <c r="T20" s="10"/>
      <c r="U20" s="10"/>
      <c r="V20" s="10"/>
      <c r="W20" s="10" t="s">
        <v>76</v>
      </c>
      <c r="X20" s="10" t="s">
        <v>278</v>
      </c>
      <c r="Y20" s="11"/>
      <c r="Z20" s="12" t="str">
        <f>IF(AND(W20="",X20=""),"단계·확신 비어 있음",IF(W20="","단계 비어 있음",IF(X20="","확신 비어 있음","")))</f>
        <v/>
      </c>
    </row>
    <row r="21" spans="1:26" ht="18.95" customHeight="1" x14ac:dyDescent="0.3">
      <c r="A21" s="9">
        <v>20</v>
      </c>
      <c r="B21" s="9" t="s">
        <v>256</v>
      </c>
      <c r="C21" s="9" t="s">
        <v>112</v>
      </c>
      <c r="D21" s="9" t="s">
        <v>113</v>
      </c>
      <c r="E21" s="6" t="s">
        <v>257</v>
      </c>
      <c r="F21" s="10"/>
      <c r="G21" s="10"/>
      <c r="H21" s="10"/>
      <c r="I21" s="10"/>
      <c r="J21" s="10"/>
      <c r="K21" s="10"/>
      <c r="L21" s="10" t="s">
        <v>276</v>
      </c>
      <c r="M21" s="10"/>
      <c r="N21" s="10"/>
      <c r="O21" s="10"/>
      <c r="P21" s="10"/>
      <c r="Q21" s="10"/>
      <c r="R21" s="10"/>
      <c r="S21" s="10"/>
      <c r="T21" s="10"/>
      <c r="U21" s="10"/>
      <c r="V21" s="10"/>
      <c r="W21" s="10" t="s">
        <v>80</v>
      </c>
      <c r="X21" s="10" t="s">
        <v>278</v>
      </c>
      <c r="Y21" s="11"/>
      <c r="Z21" s="12" t="str">
        <f>IF(AND(W21="",X21=""),"단계·확신 비어 있음",IF(W21="","단계 비어 있음",IF(X21="","확신 비어 있음","")))</f>
        <v/>
      </c>
    </row>
    <row r="22" spans="1:26" ht="18.95" customHeight="1" x14ac:dyDescent="0.3">
      <c r="A22" s="13">
        <v>21</v>
      </c>
      <c r="B22" s="13" t="s">
        <v>258</v>
      </c>
      <c r="C22" s="13" t="s">
        <v>112</v>
      </c>
      <c r="D22" s="13" t="s">
        <v>115</v>
      </c>
      <c r="E22" s="14" t="s">
        <v>259</v>
      </c>
      <c r="F22" s="15"/>
      <c r="G22" s="15"/>
      <c r="H22" s="15"/>
      <c r="I22" s="15"/>
      <c r="J22" s="15"/>
      <c r="K22" s="15"/>
      <c r="L22" s="15"/>
      <c r="M22" s="15"/>
      <c r="N22" s="15"/>
      <c r="O22" s="15"/>
      <c r="P22" s="15"/>
      <c r="Q22" s="15"/>
      <c r="R22" s="15"/>
      <c r="S22" s="15"/>
      <c r="T22" s="15"/>
      <c r="U22" s="15"/>
      <c r="V22" s="15"/>
      <c r="W22" s="15"/>
      <c r="X22" s="15"/>
      <c r="Y22" s="15"/>
      <c r="Z22" s="15"/>
    </row>
  </sheetData>
  <sheetProtection sheet="1" formatColumns="0" formatRows="0"/>
  <phoneticPr fontId="6" type="noConversion"/>
  <conditionalFormatting sqref="F2:V22">
    <cfRule type="expression" dxfId="0" priority="1">
      <formula>F2="●"</formula>
    </cfRule>
  </conditionalFormatting>
  <dataValidations count="3">
    <dataValidation type="list" allowBlank="1" errorTitle="고르기만 가능" error="드롭다운에서 ●를 고르거나 Delete로 지우세요." sqref="F2 F4 F6 F8 F9 F10 F11 F12 F13 F14 F16 F18 F19 F20 F21 G2 G4 G6 G8 G9 G10 G11 G12 G13 G14 G16 G18 G19 G20 G21 H2 H4 H6 H8 H9 H10 H11 H12 H13 H14 H16 H18 H19 H20 H21 I2 I4 I6 I8 I9 I10 I11 I12 I13 I14 I16 I18 I19 I20 I21 J2 J4 J6 J8 J9 J10 J11 J12 J13 J14 J16 J18 J19 J20 J21 K2 K4 K6 K8 K9 K10 K11 K12 K13 K14 K16 K18 K19 K20 K21 L2 L4 L6 L8 L9 L10 L11 L12 L13 L14 L16 L18 L19 L20 L21 M2 M4 M6 M8 M9 M10 M11 M12 M13 M14 M16 M18 M19 M20 M21 N2 N4 N6 N8 N9 N10 N11 N12 N13 N14 N16 N18 N19 N20 N21 O2 O4 O6 O8 O9 O10 O11 O12 O13 O14 O16 O18 O19 O20 O21 P2 P4 P6 P8 P9 P10 P11 P12 P13 P14 P16 P18 P19 P20 P21 Q2 Q4 Q6 Q8 Q9 Q10 Q11 Q12 Q13 Q14 Q16 Q18 Q19 Q20 Q21 R2 R4 R6 R8 R9 R10 R11 R12 R13 R14 R16 R18 R19 R20 R21 S2 S4 S6 S8 S9 S10 S11 S12 S13 S14 S16 S18 S19 S20 S21 T2 T4 T6 T8 T9 T10 T11 T12 T13 T14 T16 T18 T19 T20 T21 U2 U4 U6 U8 U9 U10 U11 U12 U13 U14 U16 U18 U19 U20 U21 V2 V4 V6 V8 V9 V10 V11 V12 V13 V14 V16 V18 V19 V20 V21" xr:uid="{00000000-0002-0000-0600-000000000000}">
      <formula1>"●"</formula1>
    </dataValidation>
    <dataValidation type="list" allowBlank="1" errorTitle="단계" error="드롭다운에서 단계를 고르세요." sqref="W2 W4 W6 W8 W9 W10 W11 W12 W13 W14 W16 W18 W19 W20 W21" xr:uid="{00000000-0002-0000-0600-000001000000}">
      <formula1>"접근,신뢰,유도,요구,추가요구,분류불가"</formula1>
    </dataValidation>
    <dataValidation type="list" allowBlank="1" errorTitle="확신" error="높음 또는 낮음을 고르세요." sqref="X2 X4 X6 X8 X9 X10 X11 X12 X13 X14 X16 X18 X19 X20 X21" xr:uid="{00000000-0002-0000-0600-000002000000}">
      <formula1>"높음,낮음"</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tabSelected="1" workbookViewId="0">
      <selection activeCell="F6" sqref="F6"/>
    </sheetView>
  </sheetViews>
  <sheetFormatPr defaultRowHeight="16.5" x14ac:dyDescent="0.3"/>
  <cols>
    <col min="1" max="1" width="8" customWidth="1"/>
    <col min="2" max="2" width="9" customWidth="1"/>
    <col min="3" max="4" width="13" customWidth="1"/>
    <col min="5" max="5" width="12" customWidth="1"/>
    <col min="6" max="6" width="70" customWidth="1"/>
  </cols>
  <sheetData>
    <row r="1" spans="1:6" ht="33.950000000000003" customHeight="1" x14ac:dyDescent="0.3">
      <c r="A1" s="8" t="s">
        <v>260</v>
      </c>
      <c r="B1" s="8" t="s">
        <v>261</v>
      </c>
      <c r="C1" s="8" t="s">
        <v>262</v>
      </c>
      <c r="D1" s="8" t="s">
        <v>263</v>
      </c>
      <c r="E1" s="8" t="s">
        <v>264</v>
      </c>
      <c r="F1" s="8" t="s">
        <v>265</v>
      </c>
    </row>
    <row r="2" spans="1:6" ht="48" customHeight="1" x14ac:dyDescent="0.3">
      <c r="A2" s="16" t="s">
        <v>266</v>
      </c>
      <c r="B2" s="16">
        <v>18</v>
      </c>
      <c r="C2" s="10">
        <v>14</v>
      </c>
      <c r="D2" s="10">
        <v>14</v>
      </c>
      <c r="E2" s="10" t="s">
        <v>279</v>
      </c>
      <c r="F2" s="20" t="s">
        <v>280</v>
      </c>
    </row>
    <row r="3" spans="1:6" ht="48" customHeight="1" x14ac:dyDescent="0.3">
      <c r="A3" s="16" t="s">
        <v>267</v>
      </c>
      <c r="B3" s="16">
        <v>13</v>
      </c>
      <c r="C3" s="10">
        <v>8</v>
      </c>
      <c r="D3" s="10">
        <v>10</v>
      </c>
      <c r="E3" s="10" t="s">
        <v>279</v>
      </c>
      <c r="F3" s="20" t="s">
        <v>281</v>
      </c>
    </row>
    <row r="4" spans="1:6" ht="48" customHeight="1" x14ac:dyDescent="0.3">
      <c r="A4" s="16" t="s">
        <v>268</v>
      </c>
      <c r="B4" s="16">
        <v>22</v>
      </c>
      <c r="C4" s="10">
        <v>17</v>
      </c>
      <c r="D4" s="10">
        <v>17</v>
      </c>
      <c r="E4" s="10" t="s">
        <v>279</v>
      </c>
      <c r="F4" s="20" t="s">
        <v>282</v>
      </c>
    </row>
    <row r="5" spans="1:6" ht="48" customHeight="1" x14ac:dyDescent="0.3">
      <c r="A5" s="16" t="s">
        <v>269</v>
      </c>
      <c r="B5" s="16">
        <v>37</v>
      </c>
      <c r="C5" s="10">
        <v>8</v>
      </c>
      <c r="D5" s="10">
        <v>27</v>
      </c>
      <c r="E5" s="10" t="s">
        <v>279</v>
      </c>
      <c r="F5" s="20" t="s">
        <v>283</v>
      </c>
    </row>
    <row r="6" spans="1:6" ht="48" customHeight="1" x14ac:dyDescent="0.3">
      <c r="A6" s="16" t="s">
        <v>270</v>
      </c>
      <c r="B6" s="16">
        <v>21</v>
      </c>
      <c r="C6" s="10">
        <v>5</v>
      </c>
      <c r="D6" s="10">
        <v>5</v>
      </c>
      <c r="E6" s="10" t="s">
        <v>279</v>
      </c>
      <c r="F6" s="20" t="s">
        <v>284</v>
      </c>
    </row>
    <row r="8" spans="1:6" x14ac:dyDescent="0.3">
      <c r="A8" s="17" t="s">
        <v>271</v>
      </c>
      <c r="B8" s="18"/>
      <c r="C8" s="18"/>
      <c r="D8" s="18"/>
      <c r="E8" s="18"/>
      <c r="F8" s="18"/>
    </row>
    <row r="9" spans="1:6" x14ac:dyDescent="0.3">
      <c r="A9" s="17" t="s">
        <v>272</v>
      </c>
      <c r="B9" s="18"/>
      <c r="C9" s="18"/>
      <c r="D9" s="18"/>
      <c r="E9" s="18"/>
      <c r="F9" s="18"/>
    </row>
    <row r="10" spans="1:6" x14ac:dyDescent="0.3">
      <c r="A10" s="17" t="s">
        <v>273</v>
      </c>
      <c r="B10" s="18"/>
      <c r="C10" s="18"/>
      <c r="D10" s="18"/>
      <c r="E10" s="18"/>
      <c r="F10" s="18"/>
    </row>
    <row r="11" spans="1:6" x14ac:dyDescent="0.3">
      <c r="A11" s="17" t="s">
        <v>274</v>
      </c>
      <c r="B11" s="18"/>
      <c r="C11" s="18"/>
      <c r="D11" s="18"/>
      <c r="E11" s="18"/>
      <c r="F11" s="18"/>
    </row>
  </sheetData>
  <sheetProtection sheet="1" formatColumns="0" formatRows="0"/>
  <mergeCells count="4">
    <mergeCell ref="A8:F8"/>
    <mergeCell ref="A11:F11"/>
    <mergeCell ref="A10:F10"/>
    <mergeCell ref="A9:F9"/>
  </mergeCells>
  <phoneticPr fontId="6" type="noConversion"/>
  <dataValidations count="6">
    <dataValidation type="list" allowBlank="1" errorTitle="Y 또는 N" error="송금이 있었으면 Y, 없었으면 N을 고르세요." sqref="E2 E3 E4 E5 E6" xr:uid="{00000000-0002-0000-0700-000000000000}">
      <formula1>"Y,N"</formula1>
    </dataValidation>
    <dataValidation type="list" allowBlank="1" errorTitle="상대방 메시지 번호" error="이 사례의 상대방 메시지 번호 중에서 고르세요." sqref="C2 D2" xr:uid="{00000000-0002-0000-0700-000001000000}">
      <formula1>"1,3,5,7,8,9,10,12,13,14,16,17"</formula1>
    </dataValidation>
    <dataValidation type="list" allowBlank="1" errorTitle="상대방 메시지 번호" error="이 사례의 상대방 메시지 번호 중에서 고르세요." sqref="C3 D3" xr:uid="{00000000-0002-0000-0700-000002000000}">
      <formula1>"2,4,6,8,10,13"</formula1>
    </dataValidation>
    <dataValidation type="list" allowBlank="1" errorTitle="상대방 메시지 번호" error="이 사례의 상대방 메시지 번호 중에서 고르세요." sqref="C4 D4" xr:uid="{00000000-0002-0000-0700-000003000000}">
      <formula1>"2,3,4,6,7,8,10,11,12,13,14,15,16,17,19,20,22"</formula1>
    </dataValidation>
    <dataValidation type="list" allowBlank="1" errorTitle="상대방 메시지 번호" error="이 사례의 상대방 메시지 번호 중에서 고르세요." sqref="C5 D5" xr:uid="{00000000-0002-0000-0700-000004000000}">
      <formula1>"1,2,3,4,5,6,7,8,10,12,13,14,15,16,17,18,19,20,22,23,24,25,26,27,29,30,31,32,36"</formula1>
    </dataValidation>
    <dataValidation type="list" allowBlank="1" errorTitle="상대방 메시지 번호" error="이 사례의 상대방 메시지 번호 중에서 고르세요." sqref="C6 D6" xr:uid="{00000000-0002-0000-0700-000005000000}">
      <formula1>"1,3,5,7,8,9,10,11,12,13,15,17,18,19,20"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안내</vt:lpstr>
      <vt:lpstr>코드표</vt:lpstr>
      <vt:lpstr>C03</vt:lpstr>
      <vt:lpstr>C05</vt:lpstr>
      <vt:lpstr>C06</vt:lpstr>
      <vt:lpstr>C08</vt:lpstr>
      <vt:lpstr>C09</vt:lpstr>
      <vt:lpstr>금전 지점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FullName</cp:lastModifiedBy>
  <dcterms:created xsi:type="dcterms:W3CDTF">2026-10-22T05:43:41Z</dcterms:created>
  <dcterms:modified xsi:type="dcterms:W3CDTF">2026-10-22T06:25:32Z</dcterms:modified>
</cp:coreProperties>
</file>